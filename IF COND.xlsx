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1419482d1b73ea/Desktop/swetha/anudip.foundation/labs/"/>
    </mc:Choice>
  </mc:AlternateContent>
  <xr:revisionPtr revIDLastSave="0" documentId="8_{A38FE548-3FF4-4D34-A69B-E3EF9EA53F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 l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<sst xmlns="http://schemas.openxmlformats.org/spreadsheetml/2006/main" count="17" uniqueCount="15">
  <si>
    <t>Product</t>
  </si>
  <si>
    <t>Sales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</si>
  <si>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</si>
  <si>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</si>
  <si>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</si>
  <si>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</si>
  <si>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</si>
  <si>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</si>
  <si>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</si>
  <si>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</si>
  <si>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</si>
  <si>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</si>
  <si>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</si>
  <si>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</si>
  <si>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Product 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</si>
</sst>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O2" sqref="O2"/>
    </sheetView>
  </sheetViews>
  <sheetFormatPr defaultRowHeight="14.4" x14ac:dyDescent="0.3"/>
  <cols>
    <col min="1" max="1" width="14.33203125" customWidth="1"/>
    <col min="2" max="2" width="14.21875" customWidth="1"/>
    <col min="4" max="4" width="11.5546875" customWidth="1"/>
    <col min="7" max="7" width="14.88671875" customWidth="1"/>
    <col min="9" max="9" width="17.5546875" customWidth="1"/>
    <col min="12" max="12" width="17.109375" customWidth="1"/>
    <col min="13" max="13" width="14" customWidth="1"/>
  </cols>
  <sheetData>
    <row r="1" spans="1:13" ht="15.6" x14ac:dyDescent="0.3">
      <c r="A1" s="8" t="s">
        <v>14</v>
      </c>
      <c r="B1" s="8" t="s">
        <v>0</v>
      </c>
      <c r="C1" s="8" t="s">
        <v>1</v>
      </c>
      <c r="D1" s="8" t="s">
        <v>2</v>
      </c>
      <c r="E1" s="8" t="s">
        <v>3</v>
      </c>
      <c r="F1" s="9">
        <v>1</v>
      </c>
      <c r="G1" s="9">
        <v>2</v>
      </c>
      <c r="H1" s="9">
        <v>3</v>
      </c>
      <c r="I1" s="9">
        <v>4</v>
      </c>
      <c r="J1" s="9">
        <v>5</v>
      </c>
      <c r="K1" s="10">
        <v>6</v>
      </c>
      <c r="L1" s="9">
        <v>7</v>
      </c>
      <c r="M1" s="9">
        <v>8</v>
      </c>
    </row>
    <row r="2" spans="1:13" x14ac:dyDescent="0.3">
      <c r="A2" s="4">
        <v>101</v>
      </c>
      <c r="B2" s="7" t="s">
        <v>4</v>
      </c>
      <c r="C2" s="7">
        <v>120</v>
      </c>
      <c r="D2" s="7">
        <v>150</v>
      </c>
      <c r="E2" s="7" t="s">
        <v>10</v>
      </c>
      <c r="F2" s="7" t="str">
        <f>IF(C2=D2,"YES","NO")</f>
        <v>NO</v>
      </c>
      <c r="G2" s="7" t="str">
        <f>IF(AND(I1="North",C2&gt;200),"Eligible","Not Eligible")</f>
        <v>Not Eligible</v>
      </c>
      <c r="H2" s="7" t="str">
        <f>IF(C2&gt;=200,"10%",IF(C2&gt;=150,"7%","5%"))</f>
        <v>5%</v>
      </c>
      <c r="I2" s="7" t="str">
        <f>IF(C2&gt;=200,"EXCELLENT",IF(C2&gt;=150,"GOOD",IF(C2&lt;150,"NEED IMPROVE")))</f>
        <v>NEED IMPROVE</v>
      </c>
      <c r="J2" s="7" t="str">
        <f>IF(C2&gt;200,"high",IF(C2&gt;=100,"medium",IF(C2&lt;100,"low")))</f>
        <v>medium</v>
      </c>
      <c r="K2">
        <f>IF(AND(C2&gt;=150,I1="North"),500,300)</f>
        <v>300</v>
      </c>
      <c r="L2" s="2" t="str">
        <f>IF($C2&gt;=_xlfn.PERCENTILE.INC($C$2:$C$7,0.75),"High Performer","")</f>
        <v/>
      </c>
      <c r="M2" s="2" t="str">
        <f>IF(C2&gt;=D2,"10%BONUS","5% BONUS")</f>
        <v>5% BONUS</v>
      </c>
    </row>
    <row r="3" spans="1:13" x14ac:dyDescent="0.3">
      <c r="A3" s="5">
        <v>102</v>
      </c>
      <c r="B3" s="2" t="s">
        <v>5</v>
      </c>
      <c r="C3" s="2">
        <v>150</v>
      </c>
      <c r="D3" s="2">
        <v>140</v>
      </c>
      <c r="E3" s="2" t="s">
        <v>11</v>
      </c>
      <c r="F3" s="2" t="str">
        <f t="shared" ref="F3:F7" si="0">IF(C3=D3,"YES","NO")</f>
        <v>NO</v>
      </c>
      <c r="G3" s="2" t="str">
        <f t="shared" ref="G3:G7" si="1">IF(AND(E3="North",C3&gt;200),"Eligible","Not Eligible")</f>
        <v>Not Eligible</v>
      </c>
      <c r="H3" s="2" t="str">
        <f t="shared" ref="H3:H7" si="2">IF(C3&gt;=200,"10%",IF(C3&gt;=150,"7%","5%"))</f>
        <v>7%</v>
      </c>
      <c r="I3" s="2" t="str">
        <f t="shared" ref="I3:I7" si="3">IF(C3&gt;=200,"EXCELLENT",IF(C3&gt;=150,"GOOD",IF(C3&lt;150,"NEED IMPROVE")))</f>
        <v>GOOD</v>
      </c>
      <c r="J3" s="2" t="str">
        <f t="shared" ref="J3:J7" si="4">IF(C3&gt;200,"high",IF(C3&gt;=100,"medium",IF(C3&lt;100,"low")))</f>
        <v>medium</v>
      </c>
      <c r="K3">
        <f t="shared" ref="K3:K7" si="5">IF(AND(C3&gt;=150,E3="North"),500,300)</f>
        <v>300</v>
      </c>
      <c r="L3" s="2" t="str">
        <f t="shared" ref="L3:L7" si="6">IF($C3&gt;=_xlfn.PERCENTILE.INC($C$2:$C$7,0.75),"High Performer","")</f>
        <v/>
      </c>
      <c r="M3" s="2" t="str">
        <f t="shared" ref="M3:M7" si="7">IF(C3&gt;=D3,"10%BONUS","5% BONUS")</f>
        <v>10%BONUS</v>
      </c>
    </row>
    <row r="4" spans="1:13" x14ac:dyDescent="0.3">
      <c r="A4" s="5">
        <v>103</v>
      </c>
      <c r="B4" s="2" t="s">
        <v>6</v>
      </c>
      <c r="C4" s="2">
        <v>200</v>
      </c>
      <c r="D4" s="2">
        <v>200</v>
      </c>
      <c r="E4" s="2" t="s">
        <v>12</v>
      </c>
      <c r="F4" s="2" t="str">
        <f t="shared" si="0"/>
        <v>YES</v>
      </c>
      <c r="G4" s="2" t="str">
        <f t="shared" si="1"/>
        <v>Not Eligible</v>
      </c>
      <c r="H4" s="2" t="str">
        <f t="shared" si="2"/>
        <v>10%</v>
      </c>
      <c r="I4" s="2" t="str">
        <f t="shared" si="3"/>
        <v>EXCELLENT</v>
      </c>
      <c r="J4" s="2" t="str">
        <f t="shared" si="4"/>
        <v>medium</v>
      </c>
      <c r="K4">
        <f t="shared" si="5"/>
        <v>300</v>
      </c>
      <c r="L4" s="2" t="str">
        <f t="shared" si="6"/>
        <v>High Performer</v>
      </c>
      <c r="M4" s="2" t="str">
        <f t="shared" si="7"/>
        <v>10%BONUS</v>
      </c>
    </row>
    <row r="5" spans="1:13" x14ac:dyDescent="0.3">
      <c r="A5" s="5">
        <v>104</v>
      </c>
      <c r="B5" s="2" t="s">
        <v>7</v>
      </c>
      <c r="C5" s="2">
        <v>90</v>
      </c>
      <c r="D5" s="2">
        <v>100</v>
      </c>
      <c r="E5" s="2" t="s">
        <v>13</v>
      </c>
      <c r="F5" s="2" t="str">
        <f t="shared" si="0"/>
        <v>NO</v>
      </c>
      <c r="G5" s="2" t="str">
        <f t="shared" si="1"/>
        <v>Not Eligible</v>
      </c>
      <c r="H5" s="2" t="str">
        <f t="shared" si="2"/>
        <v>5%</v>
      </c>
      <c r="I5" s="2" t="str">
        <f t="shared" si="3"/>
        <v>NEED IMPROVE</v>
      </c>
      <c r="J5" s="2" t="str">
        <f t="shared" si="4"/>
        <v>low</v>
      </c>
      <c r="K5">
        <f t="shared" si="5"/>
        <v>300</v>
      </c>
      <c r="L5" s="2" t="str">
        <f t="shared" si="6"/>
        <v/>
      </c>
      <c r="M5" s="2" t="str">
        <f t="shared" si="7"/>
        <v>5% BONUS</v>
      </c>
    </row>
    <row r="6" spans="1:13" x14ac:dyDescent="0.3">
      <c r="A6" s="5">
        <v>105</v>
      </c>
      <c r="B6" s="2" t="s">
        <v>8</v>
      </c>
      <c r="C6" s="2">
        <v>220</v>
      </c>
      <c r="D6" s="2">
        <v>210</v>
      </c>
      <c r="E6" s="2" t="s">
        <v>10</v>
      </c>
      <c r="F6" s="2" t="str">
        <f t="shared" si="0"/>
        <v>NO</v>
      </c>
      <c r="G6" s="2" t="str">
        <f t="shared" si="1"/>
        <v>Eligible</v>
      </c>
      <c r="H6" s="2" t="str">
        <f t="shared" si="2"/>
        <v>10%</v>
      </c>
      <c r="I6" s="2" t="str">
        <f t="shared" si="3"/>
        <v>EXCELLENT</v>
      </c>
      <c r="J6" s="2" t="str">
        <f t="shared" si="4"/>
        <v>high</v>
      </c>
      <c r="K6">
        <f t="shared" si="5"/>
        <v>500</v>
      </c>
      <c r="L6" s="2" t="str">
        <f t="shared" si="6"/>
        <v>High Performer</v>
      </c>
      <c r="M6" s="2" t="str">
        <f t="shared" si="7"/>
        <v>10%BONUS</v>
      </c>
    </row>
    <row r="7" spans="1:13" ht="15" thickBot="1" x14ac:dyDescent="0.35">
      <c r="A7" s="6">
        <v>106</v>
      </c>
      <c r="B7" s="3" t="s">
        <v>9</v>
      </c>
      <c r="C7" s="3">
        <v>130</v>
      </c>
      <c r="D7" s="3">
        <v>160</v>
      </c>
      <c r="E7" s="3" t="s">
        <v>11</v>
      </c>
      <c r="F7" s="3" t="str">
        <f t="shared" si="0"/>
        <v>NO</v>
      </c>
      <c r="G7" s="3" t="str">
        <f t="shared" si="1"/>
        <v>Not Eligible</v>
      </c>
      <c r="H7" s="3" t="str">
        <f t="shared" si="2"/>
        <v>5%</v>
      </c>
      <c r="I7" s="3" t="str">
        <f t="shared" si="3"/>
        <v>NEED IMPROVE</v>
      </c>
      <c r="J7" s="3" t="str">
        <f t="shared" si="4"/>
        <v>medium</v>
      </c>
      <c r="K7" s="1">
        <f t="shared" si="5"/>
        <v>300</v>
      </c>
      <c r="L7" s="3" t="str">
        <f t="shared" si="6"/>
        <v/>
      </c>
      <c r="M7" s="3" t="str">
        <f t="shared" si="7"/>
        <v>5% BONUS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</dc:creator>
  <cp:lastModifiedBy>Swetha Chelpuri</cp:lastModifiedBy>
  <dcterms:created xsi:type="dcterms:W3CDTF">2025-11-13T17:20:46Z</dcterms:created>
  <dcterms:modified xsi:type="dcterms:W3CDTF">2025-12-03T13:41:12Z</dcterms:modified>
</cp:coreProperties>
</file>