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8_{E8DEE581-4B34-4EED-A53B-1C5D2F44A47A}" xr6:coauthVersionLast="47" xr6:coauthVersionMax="47" xr10:uidLastSave="{00000000-0000-0000-0000-000000000000}"/>
  <bookViews>
    <workbookView xWindow="-108" yWindow="-108" windowWidth="23256" windowHeight="12456" xr2:uid="{5DE4A8F9-D8C9-4740-BCDD-FF2388511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C54" i="1"/>
  <c r="C55" i="1"/>
  <c r="C56" i="1"/>
  <c r="C52" i="1"/>
  <c r="C51" i="1"/>
  <c r="B53" i="1"/>
  <c r="B54" i="1"/>
  <c r="B55" i="1"/>
  <c r="B56" i="1"/>
  <c r="B52" i="1"/>
  <c r="B51" i="1"/>
  <c r="B46" i="1"/>
  <c r="B47" i="1"/>
  <c r="B48" i="1"/>
  <c r="B49" i="1"/>
  <c r="B45" i="1"/>
  <c r="B44" i="1"/>
  <c r="B39" i="1" l="1"/>
  <c r="B40" i="1"/>
  <c r="B41" i="1"/>
  <c r="B42" i="1"/>
  <c r="B37" i="1"/>
  <c r="B38" i="1"/>
  <c r="K30" i="1"/>
  <c r="J32" i="1"/>
  <c r="K32" i="1" s="1"/>
  <c r="J33" i="1"/>
  <c r="K33" i="1" s="1"/>
  <c r="J34" i="1"/>
  <c r="K34" i="1" s="1"/>
  <c r="J35" i="1"/>
  <c r="K35" i="1" s="1"/>
  <c r="J31" i="1"/>
  <c r="K31" i="1" s="1"/>
  <c r="J30" i="1"/>
  <c r="J26" i="1"/>
  <c r="J27" i="1"/>
  <c r="J28" i="1"/>
  <c r="J23" i="1"/>
  <c r="J24" i="1"/>
  <c r="J25" i="1"/>
  <c r="D37" i="1" l="1"/>
  <c r="J18" i="1"/>
  <c r="J4" i="1" s="1"/>
  <c r="J19" i="1"/>
  <c r="J5" i="1" s="1"/>
  <c r="J20" i="1"/>
  <c r="J6" i="1" s="1"/>
  <c r="J21" i="1"/>
  <c r="J7" i="1" s="1"/>
  <c r="J17" i="1"/>
  <c r="J3" i="1" s="1"/>
  <c r="J16" i="1"/>
  <c r="J2" i="1" s="1"/>
  <c r="G11" i="1"/>
  <c r="G12" i="1"/>
  <c r="G13" i="1"/>
  <c r="G14" i="1"/>
  <c r="G9" i="1"/>
  <c r="G10" i="1"/>
</calcChain>
</file>

<file path=xl/sharedStrings.xml><?xml version="1.0" encoding="utf-8"?>
<sst xmlns="http://schemas.openxmlformats.org/spreadsheetml/2006/main" count="20" uniqueCount="19">
  <si>
    <t>ProductID</t>
  </si>
  <si>
    <t>Product</t>
  </si>
  <si>
    <t>Price</t>
  </si>
  <si>
    <t>OrderID</t>
  </si>
  <si>
    <t xml:space="preserve">ProductID </t>
  </si>
  <si>
    <t>Quantity</t>
  </si>
  <si>
    <t>Product A</t>
  </si>
  <si>
    <t>Product B</t>
  </si>
  <si>
    <t>Product C</t>
  </si>
  <si>
    <t>Product D</t>
  </si>
  <si>
    <t>Product E</t>
  </si>
  <si>
    <t>Product F</t>
  </si>
  <si>
    <t>1. prod names for each prodID in orders worksheet</t>
  </si>
  <si>
    <t>2.price for each prodID,calculate total price by multiplying quantity&amp; prod price</t>
  </si>
  <si>
    <t>Total Price</t>
  </si>
  <si>
    <t>productID</t>
  </si>
  <si>
    <t>3. Check if any prodID in order worksheet do not exist in product worksheet</t>
  </si>
  <si>
    <t>4.assume 10% discount on products. Find original price &amp; then calculate the discounted price</t>
  </si>
  <si>
    <t>max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</si>
</sst>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1497-BF59-448D-811B-677FB1B07B61}">
  <dimension ref="A1:K56"/>
  <sheetViews>
    <sheetView tabSelected="1" workbookViewId="0">
      <selection activeCell="G57" sqref="G57"/>
    </sheetView>
  </sheetViews>
  <sheetFormatPr defaultRowHeight="14.4" x14ac:dyDescent="0.3"/>
  <cols>
    <col min="1" max="1" width="9.109375" bestFit="1" customWidth="1"/>
    <col min="3" max="3" width="9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G1" s="4" t="s">
        <v>3</v>
      </c>
      <c r="H1" s="4" t="s">
        <v>4</v>
      </c>
      <c r="I1" s="4" t="s">
        <v>5</v>
      </c>
      <c r="J1" s="4" t="s">
        <v>14</v>
      </c>
    </row>
    <row r="2" spans="1:10" x14ac:dyDescent="0.3">
      <c r="A2" s="2">
        <v>101</v>
      </c>
      <c r="B2" s="2" t="s">
        <v>6</v>
      </c>
      <c r="C2" s="2">
        <v>120</v>
      </c>
      <c r="G2" s="2">
        <v>1</v>
      </c>
      <c r="H2" s="2">
        <v>101</v>
      </c>
      <c r="I2" s="2">
        <v>2</v>
      </c>
      <c r="J2" s="2">
        <f>J16*I2</f>
        <v>240</v>
      </c>
    </row>
    <row r="3" spans="1:10" x14ac:dyDescent="0.3">
      <c r="A3" s="2">
        <v>102</v>
      </c>
      <c r="B3" s="2" t="s">
        <v>7</v>
      </c>
      <c r="C3" s="2">
        <v>150</v>
      </c>
      <c r="G3" s="2">
        <v>2</v>
      </c>
      <c r="H3" s="2">
        <v>102</v>
      </c>
      <c r="I3" s="2">
        <v>1</v>
      </c>
      <c r="J3" s="2">
        <f>J17*I3</f>
        <v>150</v>
      </c>
    </row>
    <row r="4" spans="1:10" x14ac:dyDescent="0.3">
      <c r="A4" s="2">
        <v>103</v>
      </c>
      <c r="B4" s="2" t="s">
        <v>8</v>
      </c>
      <c r="C4" s="2">
        <v>200</v>
      </c>
      <c r="G4" s="2">
        <v>3</v>
      </c>
      <c r="H4" s="2">
        <v>103</v>
      </c>
      <c r="I4" s="2">
        <v>4</v>
      </c>
      <c r="J4" s="2">
        <f t="shared" ref="J4:J7" si="0">J18*I4</f>
        <v>800</v>
      </c>
    </row>
    <row r="5" spans="1:10" x14ac:dyDescent="0.3">
      <c r="A5" s="2">
        <v>104</v>
      </c>
      <c r="B5" s="2" t="s">
        <v>9</v>
      </c>
      <c r="C5" s="2">
        <v>90</v>
      </c>
      <c r="G5" s="2">
        <v>4</v>
      </c>
      <c r="H5" s="2">
        <v>104</v>
      </c>
      <c r="I5" s="2">
        <v>3</v>
      </c>
      <c r="J5" s="2">
        <f t="shared" si="0"/>
        <v>270</v>
      </c>
    </row>
    <row r="6" spans="1:10" x14ac:dyDescent="0.3">
      <c r="A6" s="2">
        <v>105</v>
      </c>
      <c r="B6" s="2" t="s">
        <v>10</v>
      </c>
      <c r="C6" s="2">
        <v>220</v>
      </c>
      <c r="G6" s="2">
        <v>5</v>
      </c>
      <c r="H6" s="2">
        <v>105</v>
      </c>
      <c r="I6" s="2">
        <v>5</v>
      </c>
      <c r="J6" s="2">
        <f t="shared" si="0"/>
        <v>1100</v>
      </c>
    </row>
    <row r="7" spans="1:10" x14ac:dyDescent="0.3">
      <c r="A7" s="2">
        <v>106</v>
      </c>
      <c r="B7" s="2" t="s">
        <v>11</v>
      </c>
      <c r="C7" s="2">
        <v>130</v>
      </c>
      <c r="G7" s="2">
        <v>6</v>
      </c>
      <c r="H7" s="2">
        <v>106</v>
      </c>
      <c r="I7" s="2">
        <v>6</v>
      </c>
      <c r="J7" s="2">
        <f t="shared" si="0"/>
        <v>780</v>
      </c>
    </row>
    <row r="9" spans="1:10" x14ac:dyDescent="0.3">
      <c r="A9" s="5" t="s">
        <v>12</v>
      </c>
      <c r="B9" s="5"/>
      <c r="C9" s="5"/>
      <c r="D9" s="5"/>
      <c r="E9" s="5"/>
      <c r="F9" s="2">
        <v>101</v>
      </c>
      <c r="G9" s="2" t="str">
        <f>VLOOKUP(F9,A2:B7,2,FALSE)</f>
        <v>Product A</v>
      </c>
    </row>
    <row r="10" spans="1:10" x14ac:dyDescent="0.3">
      <c r="F10" s="2">
        <v>102</v>
      </c>
      <c r="G10" s="2" t="str">
        <f>VLOOKUP(F10,A2:B7,2,0)</f>
        <v>Product B</v>
      </c>
    </row>
    <row r="11" spans="1:10" x14ac:dyDescent="0.3">
      <c r="F11" s="2">
        <v>103</v>
      </c>
      <c r="G11" s="2" t="str">
        <f t="shared" ref="G11" si="1">VLOOKUP(F11,A4:B9,2,FALSE)</f>
        <v>Product C</v>
      </c>
    </row>
    <row r="12" spans="1:10" x14ac:dyDescent="0.3">
      <c r="F12" s="2">
        <v>104</v>
      </c>
      <c r="G12" s="2" t="str">
        <f t="shared" ref="G12" si="2">VLOOKUP(F12,A4:B9,2,0)</f>
        <v>Product D</v>
      </c>
    </row>
    <row r="13" spans="1:10" x14ac:dyDescent="0.3">
      <c r="F13" s="2">
        <v>105</v>
      </c>
      <c r="G13" s="2" t="str">
        <f t="shared" ref="G13" si="3">VLOOKUP(F13,A6:B11,2,FALSE)</f>
        <v>Product E</v>
      </c>
    </row>
    <row r="14" spans="1:10" x14ac:dyDescent="0.3">
      <c r="F14" s="2">
        <v>106</v>
      </c>
      <c r="G14" s="2" t="str">
        <f t="shared" ref="G14" si="4">VLOOKUP(F14,A6:B11,2,0)</f>
        <v>Product F</v>
      </c>
    </row>
    <row r="15" spans="1:10" x14ac:dyDescent="0.3">
      <c r="I15" s="2" t="s">
        <v>15</v>
      </c>
      <c r="J15" s="2" t="s">
        <v>2</v>
      </c>
    </row>
    <row r="16" spans="1:10" x14ac:dyDescent="0.3">
      <c r="A16" s="5" t="s">
        <v>13</v>
      </c>
      <c r="B16" s="5"/>
      <c r="C16" s="5"/>
      <c r="D16" s="5"/>
      <c r="E16" s="5"/>
      <c r="F16" s="5"/>
      <c r="G16" s="5"/>
      <c r="H16" s="5"/>
      <c r="I16" s="2">
        <v>101</v>
      </c>
      <c r="J16" s="2">
        <f>VLOOKUP(H2,A2:C7,3,0)</f>
        <v>120</v>
      </c>
    </row>
    <row r="17" spans="1:11" x14ac:dyDescent="0.3">
      <c r="I17" s="2">
        <v>102</v>
      </c>
      <c r="J17" s="2">
        <f>VLOOKUP(H3,A2:C7,3,0)</f>
        <v>150</v>
      </c>
    </row>
    <row r="18" spans="1:11" x14ac:dyDescent="0.3">
      <c r="I18" s="2">
        <v>103</v>
      </c>
      <c r="J18" s="2">
        <f>VLOOKUP(H4,A4:C9,3,0)</f>
        <v>200</v>
      </c>
    </row>
    <row r="19" spans="1:11" x14ac:dyDescent="0.3">
      <c r="I19" s="2">
        <v>104</v>
      </c>
      <c r="J19" s="2">
        <f>VLOOKUP(H5,A4:C9,3,0)</f>
        <v>90</v>
      </c>
    </row>
    <row r="20" spans="1:11" x14ac:dyDescent="0.3">
      <c r="I20" s="2">
        <v>105</v>
      </c>
      <c r="J20" s="2">
        <f>VLOOKUP(H6,A6:C11,3,0)</f>
        <v>220</v>
      </c>
    </row>
    <row r="21" spans="1:11" x14ac:dyDescent="0.3">
      <c r="I21" s="2">
        <v>106</v>
      </c>
      <c r="J21" s="2">
        <f>VLOOKUP(H7,A6:C11,3,0)</f>
        <v>130</v>
      </c>
    </row>
    <row r="23" spans="1:11" x14ac:dyDescent="0.3">
      <c r="A23" s="5" t="s">
        <v>16</v>
      </c>
      <c r="B23" s="5"/>
      <c r="C23" s="5"/>
      <c r="D23" s="5"/>
      <c r="E23" s="5"/>
      <c r="F23" s="5"/>
      <c r="G23" s="5"/>
      <c r="H23" s="5"/>
      <c r="I23" s="2">
        <v>101</v>
      </c>
      <c r="J23" s="2" t="str">
        <f>IF(ISNA(VLOOKUP(H2,$A$2:$A$7,1,FALSE)), "not found","exists")</f>
        <v>exists</v>
      </c>
      <c r="K23" s="1"/>
    </row>
    <row r="24" spans="1:11" x14ac:dyDescent="0.3">
      <c r="I24" s="2">
        <v>102</v>
      </c>
      <c r="J24" s="2" t="str">
        <f>IF(ISNA(VLOOKUP(H3,A2:A7,1,FALSE)),"not found","exists")</f>
        <v>exists</v>
      </c>
    </row>
    <row r="25" spans="1:11" x14ac:dyDescent="0.3">
      <c r="I25" s="2">
        <v>103</v>
      </c>
      <c r="J25" s="2" t="str">
        <f>IF(ISNA(VLOOKUP(H4,$A$2:$A$7,1,FALSE)), "not found","exists")</f>
        <v>exists</v>
      </c>
    </row>
    <row r="26" spans="1:11" x14ac:dyDescent="0.3">
      <c r="I26" s="2">
        <v>104</v>
      </c>
      <c r="J26" s="2" t="str">
        <f>IF(ISNA(VLOOKUP(H5,$A$2:$A$7,1,FALSE)), "not found","exists")</f>
        <v>exists</v>
      </c>
    </row>
    <row r="27" spans="1:11" x14ac:dyDescent="0.3">
      <c r="I27" s="2">
        <v>105</v>
      </c>
      <c r="J27" s="2" t="str">
        <f>IF(ISNA(VLOOKUP(H6,A5:A10,1,FALSE)),"not found","exists")</f>
        <v>exists</v>
      </c>
    </row>
    <row r="28" spans="1:11" x14ac:dyDescent="0.3">
      <c r="I28" s="2">
        <v>106</v>
      </c>
      <c r="J28" s="2" t="str">
        <f>IF(ISNA(VLOOKUP(H7,$A$2:$A$7,1,FALSE)), "not found","exists")</f>
        <v>exists</v>
      </c>
    </row>
    <row r="30" spans="1:11" x14ac:dyDescent="0.3">
      <c r="A30" s="5" t="s">
        <v>17</v>
      </c>
      <c r="B30" s="5"/>
      <c r="C30" s="5"/>
      <c r="D30" s="5"/>
      <c r="E30" s="5"/>
      <c r="F30" s="5"/>
      <c r="G30" s="5"/>
      <c r="H30" s="5"/>
      <c r="I30" s="5"/>
      <c r="J30" s="2">
        <f>VLOOKUP(H2,$A$2:$C$7,3,FALSE)</f>
        <v>120</v>
      </c>
      <c r="K30" s="2">
        <f>J30*0.9</f>
        <v>108</v>
      </c>
    </row>
    <row r="31" spans="1:11" x14ac:dyDescent="0.3">
      <c r="J31" s="2">
        <f>VLOOKUP(H3,$A$2:$C$7,3,0)</f>
        <v>150</v>
      </c>
      <c r="K31" s="2">
        <f>J31*0.9</f>
        <v>135</v>
      </c>
    </row>
    <row r="32" spans="1:11" x14ac:dyDescent="0.3">
      <c r="J32" s="2">
        <f t="shared" ref="J32" si="5">VLOOKUP(H4,$A$2:$C$7,3,FALSE)</f>
        <v>200</v>
      </c>
      <c r="K32" s="2">
        <f t="shared" ref="K32:K35" si="6">J32*0.9</f>
        <v>180</v>
      </c>
    </row>
    <row r="33" spans="1:11" x14ac:dyDescent="0.3">
      <c r="J33" s="2">
        <f t="shared" ref="J33" si="7">VLOOKUP(H5,$A$2:$C$7,3,0)</f>
        <v>90</v>
      </c>
      <c r="K33" s="2">
        <f t="shared" si="6"/>
        <v>81</v>
      </c>
    </row>
    <row r="34" spans="1:11" x14ac:dyDescent="0.3">
      <c r="J34" s="2">
        <f t="shared" ref="J34" si="8">VLOOKUP(H6,$A$2:$C$7,3,FALSE)</f>
        <v>220</v>
      </c>
      <c r="K34" s="2">
        <f t="shared" si="6"/>
        <v>198</v>
      </c>
    </row>
    <row r="35" spans="1:11" x14ac:dyDescent="0.3">
      <c r="J35" s="2">
        <f t="shared" ref="J35" si="9">VLOOKUP(H7,$A$2:$C$7,3,0)</f>
        <v>130</v>
      </c>
      <c r="K35" s="2">
        <f t="shared" si="6"/>
        <v>117</v>
      </c>
    </row>
    <row r="37" spans="1:11" x14ac:dyDescent="0.3">
      <c r="A37" s="6">
        <v>5</v>
      </c>
      <c r="B37" s="2">
        <f>VLOOKUP(H2,$A$2:$C$7,3,0)*I2</f>
        <v>240</v>
      </c>
      <c r="C37" t="s">
        <v>18</v>
      </c>
      <c r="D37">
        <f>MAX(B37:B42)</f>
        <v>1100</v>
      </c>
    </row>
    <row r="38" spans="1:11" x14ac:dyDescent="0.3">
      <c r="B38" s="2">
        <f>VLOOKUP(H3,$A$2:$C$7,3,0)*I3</f>
        <v>150</v>
      </c>
    </row>
    <row r="39" spans="1:11" x14ac:dyDescent="0.3">
      <c r="B39" s="2">
        <f t="shared" ref="B39:B42" si="10">VLOOKUP(H4,$A$2:$C$7,3,0)*I4</f>
        <v>800</v>
      </c>
    </row>
    <row r="40" spans="1:11" x14ac:dyDescent="0.3">
      <c r="B40" s="2">
        <f t="shared" si="10"/>
        <v>270</v>
      </c>
    </row>
    <row r="41" spans="1:11" x14ac:dyDescent="0.3">
      <c r="B41" s="2">
        <f t="shared" si="10"/>
        <v>1100</v>
      </c>
    </row>
    <row r="42" spans="1:11" x14ac:dyDescent="0.3">
      <c r="B42" s="2">
        <f t="shared" si="10"/>
        <v>780</v>
      </c>
    </row>
    <row r="44" spans="1:11" x14ac:dyDescent="0.3">
      <c r="A44" s="6">
        <v>6</v>
      </c>
      <c r="B44" s="2" t="str">
        <f>IF(ISNUMBER(MATCH(A2,$H$2:$H$7,0)), "ordered","not ordered")</f>
        <v>ordered</v>
      </c>
    </row>
    <row r="45" spans="1:11" x14ac:dyDescent="0.3">
      <c r="B45" s="2" t="str">
        <f>IF(ISNUMBER(MATCH(A3,$H$2:$H$7,0)),"ordered","not ordered")</f>
        <v>ordered</v>
      </c>
    </row>
    <row r="46" spans="1:11" x14ac:dyDescent="0.3">
      <c r="B46" s="2" t="str">
        <f t="shared" ref="B46" si="11">IF(ISNUMBER(MATCH(A4,$H$2:$H$7,0)), "ordered","not ordered")</f>
        <v>ordered</v>
      </c>
    </row>
    <row r="47" spans="1:11" x14ac:dyDescent="0.3">
      <c r="B47" s="2" t="str">
        <f t="shared" ref="B47" si="12">IF(ISNUMBER(MATCH(A5,$H$2:$H$7,0)),"ordered","not ordered")</f>
        <v>ordered</v>
      </c>
    </row>
    <row r="48" spans="1:11" x14ac:dyDescent="0.3">
      <c r="B48" s="2" t="str">
        <f t="shared" ref="B48" si="13">IF(ISNUMBER(MATCH(A6,$H$2:$H$7,0)), "ordered","not ordered")</f>
        <v>ordered</v>
      </c>
    </row>
    <row r="49" spans="1:3" x14ac:dyDescent="0.3">
      <c r="B49" s="2" t="str">
        <f t="shared" ref="B49" si="14">IF(ISNUMBER(MATCH(A7,$H$2:$H$7,0)),"ordered","not ordered")</f>
        <v>ordered</v>
      </c>
    </row>
    <row r="51" spans="1:3" x14ac:dyDescent="0.3">
      <c r="A51" s="6">
        <v>7</v>
      </c>
      <c r="B51" s="2" t="str">
        <f>VLOOKUP(H2,$A$2:$C$7,2,0)</f>
        <v>Product A</v>
      </c>
      <c r="C51">
        <f>SUMIF($B$51:$B$56,B2,$I$2:$I$7)</f>
        <v>2</v>
      </c>
    </row>
    <row r="52" spans="1:3" x14ac:dyDescent="0.3">
      <c r="B52" s="2" t="str">
        <f>VLOOKUP(H3,$A$2:$C$7,2,0)</f>
        <v>Product B</v>
      </c>
      <c r="C52">
        <f>SUMIF($B$51:$B$56,B3,$I$2:$I$7)</f>
        <v>1</v>
      </c>
    </row>
    <row r="53" spans="1:3" x14ac:dyDescent="0.3">
      <c r="B53" s="2" t="str">
        <f t="shared" ref="B53:B56" si="15">VLOOKUP(H4,$A$2:$C$7,2,0)</f>
        <v>Product C</v>
      </c>
      <c r="C53">
        <f t="shared" ref="C53:C56" si="16">SUMIF($B$51:$B$56,B4,$I$2:$I$7)</f>
        <v>4</v>
      </c>
    </row>
    <row r="54" spans="1:3" x14ac:dyDescent="0.3">
      <c r="B54" s="2" t="str">
        <f t="shared" si="15"/>
        <v>Product D</v>
      </c>
      <c r="C54">
        <f t="shared" si="16"/>
        <v>3</v>
      </c>
    </row>
    <row r="55" spans="1:3" x14ac:dyDescent="0.3">
      <c r="B55" s="2" t="str">
        <f t="shared" si="15"/>
        <v>Product E</v>
      </c>
      <c r="C55">
        <f t="shared" si="16"/>
        <v>5</v>
      </c>
    </row>
    <row r="56" spans="1:3" x14ac:dyDescent="0.3">
      <c r="B56" s="2" t="str">
        <f t="shared" si="15"/>
        <v>Product F</v>
      </c>
      <c r="C56">
        <f t="shared" si="16"/>
        <v>6</v>
      </c>
    </row>
  </sheetData>
  <mergeCells count="4">
    <mergeCell ref="A9:E9"/>
    <mergeCell ref="A16:H16"/>
    <mergeCell ref="A23:H23"/>
    <mergeCell ref="A30:I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ADVITIYA AEKULA</dc:creator>
  <cp:lastModifiedBy>Swetha Chelpuri</cp:lastModifiedBy>
  <dcterms:created xsi:type="dcterms:W3CDTF">2025-11-19T15:41:50Z</dcterms:created>
  <dcterms:modified xsi:type="dcterms:W3CDTF">2025-12-03T13:06:50Z</dcterms:modified>
</cp:coreProperties>
</file>