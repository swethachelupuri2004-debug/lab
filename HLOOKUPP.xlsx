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1419482d1b73ea/Desktop/swetha/anudip.foundation/labs/"/>
    </mc:Choice>
  </mc:AlternateContent>
  <xr:revisionPtr revIDLastSave="0" documentId="8_{E79E6EFF-8D51-4F2C-925B-FB70D7EDF6BF}" xr6:coauthVersionLast="47" xr6:coauthVersionMax="47" xr10:uidLastSave="{00000000-0000-0000-0000-000000000000}"/>
  <bookViews>
    <workbookView xWindow="-108" yWindow="-108" windowWidth="23256" windowHeight="12456" activeTab="4" xr2:uid="{A2AA6E92-FDD5-450C-9AC1-6458240D7EB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5" l="1"/>
  <c r="J32" i="5"/>
  <c r="J29" i="5"/>
  <c r="J26" i="5"/>
  <c r="J23" i="5"/>
  <c r="J20" i="5"/>
  <c r="J17" i="5"/>
  <c r="L17" i="4"/>
  <c r="L15" i="4"/>
  <c r="L16" i="4"/>
  <c r="L12" i="4"/>
  <c r="L13" i="4"/>
  <c r="L14" i="4"/>
  <c r="L11" i="4"/>
  <c r="J17" i="4"/>
  <c r="J16" i="4"/>
  <c r="J12" i="4"/>
  <c r="J13" i="4"/>
  <c r="J14" i="4"/>
  <c r="J15" i="4"/>
  <c r="J11" i="4"/>
  <c r="H12" i="4"/>
  <c r="E13" i="4"/>
  <c r="E14" i="4"/>
  <c r="E15" i="4"/>
  <c r="E16" i="4"/>
  <c r="E17" i="4"/>
  <c r="E12" i="4"/>
  <c r="L4" i="4"/>
  <c r="L5" i="4"/>
  <c r="L6" i="4"/>
  <c r="L7" i="4"/>
  <c r="L8" i="4"/>
  <c r="L3" i="4"/>
  <c r="B10" i="4"/>
  <c r="B11" i="4"/>
  <c r="B12" i="4"/>
  <c r="B13" i="4"/>
  <c r="B14" i="4"/>
  <c r="B15" i="4"/>
  <c r="B16" i="4"/>
  <c r="E3" i="4"/>
  <c r="E4" i="4"/>
  <c r="E5" i="4"/>
  <c r="E6" i="4"/>
  <c r="E7" i="4"/>
  <c r="E2" i="4"/>
  <c r="D3" i="4"/>
  <c r="D4" i="4"/>
  <c r="D5" i="4"/>
  <c r="D6" i="4"/>
  <c r="D7" i="4"/>
  <c r="D2" i="4"/>
  <c r="I4" i="4"/>
  <c r="I5" i="4"/>
  <c r="I6" i="4"/>
  <c r="I7" i="4"/>
  <c r="I8" i="4"/>
  <c r="I3" i="4"/>
  <c r="N21" i="1"/>
  <c r="N22" i="1"/>
  <c r="N23" i="1"/>
  <c r="N24" i="1"/>
  <c r="N25" i="1"/>
  <c r="N20" i="1"/>
  <c r="N13" i="1"/>
  <c r="N14" i="1"/>
  <c r="N15" i="1"/>
  <c r="N16" i="1"/>
  <c r="N17" i="1"/>
  <c r="N12" i="1"/>
  <c r="N5" i="1"/>
  <c r="N6" i="1"/>
  <c r="N7" i="1"/>
  <c r="N8" i="1"/>
  <c r="N9" i="1"/>
  <c r="N4" i="1"/>
  <c r="I22" i="1"/>
  <c r="I23" i="1"/>
  <c r="I24" i="1"/>
  <c r="I25" i="1"/>
  <c r="I26" i="1"/>
  <c r="I21" i="1"/>
  <c r="J14" i="1"/>
  <c r="J15" i="1"/>
  <c r="J16" i="1"/>
  <c r="J17" i="1"/>
  <c r="J18" i="1"/>
  <c r="J13" i="1"/>
  <c r="I6" i="1"/>
  <c r="I7" i="1"/>
  <c r="I8" i="1"/>
  <c r="I9" i="1"/>
  <c r="I10" i="1"/>
  <c r="I5" i="1"/>
  <c r="D21" i="1"/>
  <c r="D22" i="1"/>
  <c r="D23" i="1"/>
  <c r="D24" i="1"/>
  <c r="D25" i="1"/>
  <c r="D20" i="1"/>
  <c r="C12" i="1"/>
  <c r="C13" i="1"/>
  <c r="C14" i="1"/>
  <c r="C15" i="1"/>
  <c r="C16" i="1"/>
  <c r="C11" i="1"/>
</calcChain>
</file>

<file path=xl/sharedStrings.xml><?xml version="1.0" encoding="utf-8"?>
<sst xmlns="http://schemas.openxmlformats.org/spreadsheetml/2006/main" count="159" uniqueCount="59">
  <si>
    <t>product ID</t>
  </si>
  <si>
    <t>product</t>
  </si>
  <si>
    <t>sales</t>
  </si>
  <si>
    <t>target</t>
  </si>
  <si>
    <t>Target</t>
  </si>
  <si>
    <t>region</t>
  </si>
  <si>
    <t>productA</t>
  </si>
  <si>
    <t>productB</t>
  </si>
  <si>
    <t>productC</t>
  </si>
  <si>
    <t>productD</t>
  </si>
  <si>
    <t>productE</t>
  </si>
  <si>
    <t>productF</t>
  </si>
  <si>
    <t>North</t>
  </si>
  <si>
    <t>South</t>
  </si>
  <si>
    <t>East</t>
  </si>
  <si>
    <t>West</t>
  </si>
  <si>
    <t>if statement</t>
  </si>
  <si>
    <t xml:space="preserve"> sales target</t>
  </si>
  <si>
    <t xml:space="preserve"> Eligible for bonus</t>
  </si>
  <si>
    <t>commisin rate</t>
  </si>
  <si>
    <t>bonus amount</t>
  </si>
  <si>
    <t>Excellent</t>
  </si>
  <si>
    <t>good</t>
  </si>
  <si>
    <t>needs improved</t>
  </si>
  <si>
    <t>invalid</t>
  </si>
  <si>
    <t>&gt;=200</t>
  </si>
  <si>
    <t>&gt;=150</t>
  </si>
  <si>
    <t>&gt;=100</t>
  </si>
  <si>
    <t>&lt;100</t>
  </si>
  <si>
    <t>performance</t>
  </si>
  <si>
    <t>High</t>
  </si>
  <si>
    <t>medium</t>
  </si>
  <si>
    <t>low</t>
  </si>
  <si>
    <t>&gt;200</t>
  </si>
  <si>
    <t>&gt;100</t>
  </si>
  <si>
    <t>price tire</t>
  </si>
  <si>
    <t>year end bonus</t>
  </si>
  <si>
    <t>high performer</t>
  </si>
  <si>
    <t>Region</t>
  </si>
  <si>
    <t>Date</t>
  </si>
  <si>
    <t>Sales</t>
  </si>
  <si>
    <t>Product</t>
  </si>
  <si>
    <t>productID</t>
  </si>
  <si>
    <t>price</t>
  </si>
  <si>
    <t>orderID</t>
  </si>
  <si>
    <t>quantity</t>
  </si>
  <si>
    <t>total price</t>
  </si>
  <si>
    <t>product name</t>
  </si>
  <si>
    <t>Status</t>
  </si>
  <si>
    <t>jan</t>
  </si>
  <si>
    <t>feb</t>
  </si>
  <si>
    <t>mar</t>
  </si>
  <si>
    <t>apr</t>
  </si>
  <si>
    <t>may</t>
  </si>
  <si>
    <t>total sales</t>
  </si>
  <si>
    <t>max</t>
  </si>
  <si>
    <t>min</t>
  </si>
  <si>
    <t>avg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</si>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</sst>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 val="double"/>
      <sz val="20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/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/>
    <xf numFmtId="0" fontId="2" fillId="14" borderId="0" xfId="0" applyFont="1" applyFill="1" applyAlignment="1">
      <alignment horizontal="center"/>
    </xf>
    <xf numFmtId="0" fontId="2" fillId="14" borderId="2" xfId="0" applyFont="1" applyFill="1" applyBorder="1"/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 applyAlignment="1">
      <alignment horizontal="center" vertical="center"/>
    </xf>
    <xf numFmtId="0" fontId="0" fillId="17" borderId="1" xfId="0" applyFill="1" applyBorder="1"/>
    <xf numFmtId="0" fontId="1" fillId="18" borderId="1" xfId="0" applyFont="1" applyFill="1" applyBorder="1"/>
    <xf numFmtId="14" fontId="0" fillId="9" borderId="1" xfId="0" applyNumberFormat="1" applyFill="1" applyBorder="1"/>
    <xf numFmtId="0" fontId="1" fillId="4" borderId="1" xfId="0" applyFon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1" fillId="0" borderId="0" xfId="0" applyFont="1"/>
    <xf numFmtId="14" fontId="0" fillId="0" borderId="0" xfId="0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4" xfId="0" applyBorder="1"/>
    <xf numFmtId="0" fontId="0" fillId="19" borderId="1" xfId="0" applyFill="1" applyBorder="1"/>
    <xf numFmtId="0" fontId="3" fillId="0" borderId="0" xfId="0" applyFont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0" borderId="1" xfId="0" applyFont="1" applyFill="1" applyBorder="1"/>
    <xf numFmtId="0" fontId="0" fillId="0" borderId="0" xfId="0" applyBorder="1"/>
    <xf numFmtId="0" fontId="0" fillId="0" borderId="1" xfId="0" applyFill="1" applyBorder="1"/>
    <xf numFmtId="0" fontId="0" fillId="0" borderId="0" xfId="0" applyFill="1" applyBorder="1"/>
    <xf numFmtId="0" fontId="4" fillId="0" borderId="0" xfId="0" applyFont="1" applyFill="1" applyBorder="1"/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34998626667073579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34998626667073579"/>
        </patternFill>
      </fill>
    </dxf>
    <dxf>
      <fill>
        <patternFill>
          <bgColor theme="4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E17D-01BD-46E0-BBCC-5074D0E22A63}">
  <dimension ref="A1:N26"/>
  <sheetViews>
    <sheetView workbookViewId="0">
      <selection activeCell="C8" sqref="C8"/>
    </sheetView>
  </sheetViews>
  <sheetFormatPr defaultRowHeight="14.4" x14ac:dyDescent="0.3"/>
  <cols>
    <col min="1" max="1" width="15.33203125" customWidth="1"/>
    <col min="2" max="2" width="18.44140625" customWidth="1"/>
    <col min="3" max="3" width="12.6640625" customWidth="1"/>
    <col min="4" max="4" width="14.88671875" customWidth="1"/>
    <col min="5" max="5" width="14.5546875" customWidth="1"/>
    <col min="9" max="9" width="14.5546875" customWidth="1"/>
    <col min="10" max="10" width="12.6640625" bestFit="1" customWidth="1"/>
    <col min="14" max="14" width="13.44140625" bestFit="1" customWidth="1"/>
  </cols>
  <sheetData>
    <row r="1" spans="1:14" x14ac:dyDescent="0.3">
      <c r="A1" s="46" t="s">
        <v>0</v>
      </c>
      <c r="B1" s="46" t="s">
        <v>1</v>
      </c>
      <c r="C1" s="46" t="s">
        <v>2</v>
      </c>
      <c r="D1" s="46" t="s">
        <v>4</v>
      </c>
      <c r="E1" s="46" t="s">
        <v>5</v>
      </c>
      <c r="H1" s="44" t="s">
        <v>16</v>
      </c>
      <c r="I1" s="44"/>
      <c r="J1" s="44"/>
    </row>
    <row r="2" spans="1:14" x14ac:dyDescent="0.3">
      <c r="A2" s="46"/>
      <c r="B2" s="46"/>
      <c r="C2" s="46"/>
      <c r="D2" s="46"/>
      <c r="E2" s="46"/>
      <c r="H2" s="44"/>
      <c r="I2" s="44"/>
      <c r="J2" s="44"/>
    </row>
    <row r="3" spans="1:14" x14ac:dyDescent="0.3">
      <c r="A3" s="3">
        <v>101</v>
      </c>
      <c r="B3" s="3" t="s">
        <v>6</v>
      </c>
      <c r="C3" s="3">
        <v>120</v>
      </c>
      <c r="D3" s="3">
        <v>150</v>
      </c>
      <c r="E3" s="3" t="s">
        <v>12</v>
      </c>
      <c r="J3" s="1" t="s">
        <v>30</v>
      </c>
      <c r="K3" s="1" t="s">
        <v>33</v>
      </c>
      <c r="L3" s="1">
        <v>6</v>
      </c>
      <c r="M3" s="23" t="s">
        <v>2</v>
      </c>
      <c r="N3" s="22" t="s">
        <v>35</v>
      </c>
    </row>
    <row r="4" spans="1:14" x14ac:dyDescent="0.3">
      <c r="A4" s="3">
        <v>102</v>
      </c>
      <c r="B4" s="3" t="s">
        <v>7</v>
      </c>
      <c r="C4" s="3">
        <v>150</v>
      </c>
      <c r="D4" s="3">
        <v>140</v>
      </c>
      <c r="E4" s="3" t="s">
        <v>13</v>
      </c>
      <c r="G4" s="2">
        <v>3</v>
      </c>
      <c r="H4" s="12" t="s">
        <v>2</v>
      </c>
      <c r="I4" s="12" t="s">
        <v>19</v>
      </c>
      <c r="J4" s="1" t="s">
        <v>31</v>
      </c>
      <c r="K4" s="1" t="s">
        <v>34</v>
      </c>
      <c r="M4" s="24">
        <v>120</v>
      </c>
      <c r="N4" s="25" t="str">
        <f>IF(M4&gt;=200,"High",IF(M4&gt;=100,"medium","low"))</f>
        <v>medium</v>
      </c>
    </row>
    <row r="5" spans="1:14" x14ac:dyDescent="0.3">
      <c r="A5" s="3">
        <v>103</v>
      </c>
      <c r="B5" s="3" t="s">
        <v>8</v>
      </c>
      <c r="C5" s="3">
        <v>200</v>
      </c>
      <c r="D5" s="3">
        <v>200</v>
      </c>
      <c r="E5" s="3" t="s">
        <v>14</v>
      </c>
      <c r="H5" s="10">
        <v>120</v>
      </c>
      <c r="I5" s="17">
        <f>IF(C3&gt;=200,10%,IF(C3&gt;=150,7%,5%))</f>
        <v>0.05</v>
      </c>
      <c r="J5" s="1" t="s">
        <v>32</v>
      </c>
      <c r="K5" s="1" t="s">
        <v>28</v>
      </c>
      <c r="M5" s="24">
        <v>150</v>
      </c>
      <c r="N5" s="25" t="str">
        <f t="shared" ref="N5:N9" si="0">IF(M5&gt;=200,"High",IF(M5&gt;=100,"medium","low"))</f>
        <v>medium</v>
      </c>
    </row>
    <row r="6" spans="1:14" x14ac:dyDescent="0.3">
      <c r="A6" s="3">
        <v>104</v>
      </c>
      <c r="B6" s="3" t="s">
        <v>9</v>
      </c>
      <c r="C6" s="3">
        <v>90</v>
      </c>
      <c r="D6" s="3">
        <v>100</v>
      </c>
      <c r="E6" s="3" t="s">
        <v>15</v>
      </c>
      <c r="H6" s="10">
        <v>150</v>
      </c>
      <c r="I6" s="17">
        <f t="shared" ref="I6:I10" si="1">IF(C4&gt;=200,10%,IF(C4&gt;=150,7%,5%))</f>
        <v>7.0000000000000007E-2</v>
      </c>
      <c r="M6" s="24">
        <v>200</v>
      </c>
      <c r="N6" s="25" t="str">
        <f t="shared" si="0"/>
        <v>High</v>
      </c>
    </row>
    <row r="7" spans="1:14" x14ac:dyDescent="0.3">
      <c r="A7" s="3">
        <v>105</v>
      </c>
      <c r="B7" s="3" t="s">
        <v>10</v>
      </c>
      <c r="C7" s="3">
        <v>220</v>
      </c>
      <c r="D7" s="3">
        <v>210</v>
      </c>
      <c r="E7" s="3" t="s">
        <v>12</v>
      </c>
      <c r="H7" s="10">
        <v>200</v>
      </c>
      <c r="I7" s="17">
        <f t="shared" si="1"/>
        <v>0.1</v>
      </c>
      <c r="M7" s="24">
        <v>90</v>
      </c>
      <c r="N7" s="25" t="str">
        <f t="shared" si="0"/>
        <v>low</v>
      </c>
    </row>
    <row r="8" spans="1:14" x14ac:dyDescent="0.3">
      <c r="A8" s="3">
        <v>106</v>
      </c>
      <c r="B8" s="3" t="s">
        <v>11</v>
      </c>
      <c r="C8" s="3">
        <v>130</v>
      </c>
      <c r="D8" s="3">
        <v>160</v>
      </c>
      <c r="E8" s="3" t="s">
        <v>13</v>
      </c>
      <c r="H8" s="10">
        <v>90</v>
      </c>
      <c r="I8" s="17">
        <f t="shared" si="1"/>
        <v>0.05</v>
      </c>
      <c r="M8" s="24">
        <v>220</v>
      </c>
      <c r="N8" s="25" t="str">
        <f t="shared" si="0"/>
        <v>High</v>
      </c>
    </row>
    <row r="9" spans="1:14" x14ac:dyDescent="0.3">
      <c r="H9" s="10">
        <v>220</v>
      </c>
      <c r="I9" s="17">
        <f t="shared" si="1"/>
        <v>0.1</v>
      </c>
      <c r="M9" s="24">
        <v>130</v>
      </c>
      <c r="N9" s="25" t="str">
        <f t="shared" si="0"/>
        <v>medium</v>
      </c>
    </row>
    <row r="10" spans="1:14" x14ac:dyDescent="0.3">
      <c r="A10" s="5">
        <v>1</v>
      </c>
      <c r="B10" s="5" t="s">
        <v>1</v>
      </c>
      <c r="C10" s="6" t="s">
        <v>17</v>
      </c>
      <c r="H10" s="10">
        <v>130</v>
      </c>
      <c r="I10" s="17">
        <f t="shared" si="1"/>
        <v>0.05</v>
      </c>
    </row>
    <row r="11" spans="1:14" x14ac:dyDescent="0.3">
      <c r="B11" s="7" t="s">
        <v>6</v>
      </c>
      <c r="C11" s="8" t="b">
        <f>IF(C3&gt;=D3,TRUE,FALSE)</f>
        <v>0</v>
      </c>
      <c r="H11" s="4"/>
      <c r="L11" s="1">
        <v>7</v>
      </c>
      <c r="M11" s="12" t="s">
        <v>2</v>
      </c>
      <c r="N11" s="12" t="s">
        <v>36</v>
      </c>
    </row>
    <row r="12" spans="1:14" x14ac:dyDescent="0.3">
      <c r="B12" s="7" t="s">
        <v>7</v>
      </c>
      <c r="C12" s="8" t="b">
        <f t="shared" ref="C12:C16" si="2">IF(C4&gt;=D4,TRUE,FALSE)</f>
        <v>1</v>
      </c>
      <c r="G12" s="2">
        <v>4</v>
      </c>
      <c r="H12" s="13" t="s">
        <v>2</v>
      </c>
      <c r="I12" s="14" t="s">
        <v>3</v>
      </c>
      <c r="J12" s="14" t="s">
        <v>20</v>
      </c>
      <c r="M12" s="10">
        <v>120</v>
      </c>
      <c r="N12" s="11">
        <f>IF(AND(M12&gt;=150,E3="North"),500,300)</f>
        <v>300</v>
      </c>
    </row>
    <row r="13" spans="1:14" x14ac:dyDescent="0.3">
      <c r="B13" s="7" t="s">
        <v>8</v>
      </c>
      <c r="C13" s="8" t="b">
        <f t="shared" si="2"/>
        <v>1</v>
      </c>
      <c r="H13" s="15">
        <v>120</v>
      </c>
      <c r="I13" s="15">
        <v>150</v>
      </c>
      <c r="J13" s="16">
        <f>IF(C3&gt;=D3,C3*10%,C3*5%)</f>
        <v>6</v>
      </c>
      <c r="M13" s="10">
        <v>150</v>
      </c>
      <c r="N13" s="11">
        <f t="shared" ref="N13:N17" si="3">IF(AND(M13&gt;=150,E4="North"),500,300)</f>
        <v>300</v>
      </c>
    </row>
    <row r="14" spans="1:14" x14ac:dyDescent="0.3">
      <c r="B14" s="7" t="s">
        <v>9</v>
      </c>
      <c r="C14" s="8" t="b">
        <f t="shared" si="2"/>
        <v>0</v>
      </c>
      <c r="H14" s="15">
        <v>150</v>
      </c>
      <c r="I14" s="15">
        <v>140</v>
      </c>
      <c r="J14" s="16">
        <f t="shared" ref="J14:J18" si="4">IF(C4&gt;=D4,C4*10%,C4*5%)</f>
        <v>15</v>
      </c>
      <c r="M14" s="10">
        <v>200</v>
      </c>
      <c r="N14" s="11">
        <f t="shared" si="3"/>
        <v>300</v>
      </c>
    </row>
    <row r="15" spans="1:14" x14ac:dyDescent="0.3">
      <c r="B15" s="7" t="s">
        <v>10</v>
      </c>
      <c r="C15" s="8" t="b">
        <f t="shared" si="2"/>
        <v>1</v>
      </c>
      <c r="H15" s="15">
        <v>200</v>
      </c>
      <c r="I15" s="15">
        <v>200</v>
      </c>
      <c r="J15" s="16">
        <f t="shared" si="4"/>
        <v>20</v>
      </c>
      <c r="M15" s="10">
        <v>90</v>
      </c>
      <c r="N15" s="11">
        <f t="shared" si="3"/>
        <v>300</v>
      </c>
    </row>
    <row r="16" spans="1:14" x14ac:dyDescent="0.3">
      <c r="B16" s="7" t="s">
        <v>11</v>
      </c>
      <c r="C16" s="8" t="b">
        <f t="shared" si="2"/>
        <v>0</v>
      </c>
      <c r="H16" s="15">
        <v>90</v>
      </c>
      <c r="I16" s="15">
        <v>100</v>
      </c>
      <c r="J16" s="16">
        <f t="shared" si="4"/>
        <v>4.5</v>
      </c>
      <c r="M16" s="10">
        <v>220</v>
      </c>
      <c r="N16" s="11">
        <f t="shared" si="3"/>
        <v>500</v>
      </c>
    </row>
    <row r="17" spans="1:14" x14ac:dyDescent="0.3">
      <c r="H17" s="15">
        <v>220</v>
      </c>
      <c r="I17" s="15">
        <v>210</v>
      </c>
      <c r="J17" s="16">
        <f t="shared" si="4"/>
        <v>22</v>
      </c>
      <c r="M17" s="10">
        <v>130</v>
      </c>
      <c r="N17" s="11">
        <f t="shared" si="3"/>
        <v>300</v>
      </c>
    </row>
    <row r="18" spans="1:14" x14ac:dyDescent="0.3">
      <c r="A18" s="2">
        <v>2</v>
      </c>
      <c r="B18" s="45" t="s">
        <v>5</v>
      </c>
      <c r="C18" s="45" t="s">
        <v>2</v>
      </c>
      <c r="D18" s="45" t="s">
        <v>18</v>
      </c>
      <c r="H18" s="15">
        <v>130</v>
      </c>
      <c r="I18" s="15">
        <v>160</v>
      </c>
      <c r="J18" s="16">
        <f t="shared" si="4"/>
        <v>6.5</v>
      </c>
    </row>
    <row r="19" spans="1:14" x14ac:dyDescent="0.3">
      <c r="B19" s="45"/>
      <c r="C19" s="45"/>
      <c r="D19" s="45"/>
      <c r="E19" t="s">
        <v>21</v>
      </c>
      <c r="F19" t="s">
        <v>25</v>
      </c>
      <c r="L19" s="1">
        <v>8</v>
      </c>
      <c r="M19" s="26" t="s">
        <v>2</v>
      </c>
      <c r="N19" s="26" t="s">
        <v>37</v>
      </c>
    </row>
    <row r="20" spans="1:14" x14ac:dyDescent="0.3">
      <c r="B20" s="9" t="s">
        <v>12</v>
      </c>
      <c r="C20" s="9">
        <v>120</v>
      </c>
      <c r="D20" s="18" t="str">
        <f>IF(AND(E3="North",C3&gt;200), "yes","No")</f>
        <v>No</v>
      </c>
      <c r="E20" t="s">
        <v>22</v>
      </c>
      <c r="F20" t="s">
        <v>26</v>
      </c>
      <c r="G20" s="1">
        <v>5</v>
      </c>
      <c r="H20" s="19" t="s">
        <v>2</v>
      </c>
      <c r="I20" s="19" t="s">
        <v>29</v>
      </c>
      <c r="M20" s="27">
        <v>120</v>
      </c>
      <c r="N20" s="28" t="str">
        <f>IF(M20&gt;=_xlfn.PERCENTILE.INC($C$3:$C$8,0.75),"high performer","low performer")</f>
        <v>low performer</v>
      </c>
    </row>
    <row r="21" spans="1:14" x14ac:dyDescent="0.3">
      <c r="B21" s="9" t="s">
        <v>13</v>
      </c>
      <c r="C21" s="9">
        <v>150</v>
      </c>
      <c r="D21" s="18" t="str">
        <f t="shared" ref="D21:D25" si="5">IF(AND(E4="North",C4&gt;200), "yes","No")</f>
        <v>No</v>
      </c>
      <c r="E21" t="s">
        <v>23</v>
      </c>
      <c r="F21" t="s">
        <v>27</v>
      </c>
      <c r="H21" s="20">
        <v>120</v>
      </c>
      <c r="I21" s="21" t="str">
        <f>IF(H21&gt;=200,"Excellent",IF(H21&gt;=150,"good",IF(H21&gt;=100,"needs improved","invalid")))</f>
        <v>needs improved</v>
      </c>
      <c r="M21" s="27">
        <v>150</v>
      </c>
      <c r="N21" s="28" t="str">
        <f t="shared" ref="N21:N25" si="6">IF(M21&gt;=_xlfn.PERCENTILE.INC($C$3:$C$8,0.75),"high performer","low performer")</f>
        <v>low performer</v>
      </c>
    </row>
    <row r="22" spans="1:14" x14ac:dyDescent="0.3">
      <c r="B22" s="9" t="s">
        <v>14</v>
      </c>
      <c r="C22" s="9">
        <v>200</v>
      </c>
      <c r="D22" s="18" t="str">
        <f t="shared" si="5"/>
        <v>No</v>
      </c>
      <c r="E22" t="s">
        <v>24</v>
      </c>
      <c r="F22" t="s">
        <v>28</v>
      </c>
      <c r="H22" s="20">
        <v>150</v>
      </c>
      <c r="I22" s="21" t="str">
        <f t="shared" ref="I22:I26" si="7">IF(H22&gt;=200,"Excellent",IF(H22&gt;=150,"good",IF(H22&gt;=100,"needs improved","invalid")))</f>
        <v>good</v>
      </c>
      <c r="M22" s="27">
        <v>200</v>
      </c>
      <c r="N22" s="28" t="str">
        <f t="shared" si="6"/>
        <v>high performer</v>
      </c>
    </row>
    <row r="23" spans="1:14" x14ac:dyDescent="0.3">
      <c r="B23" s="9" t="s">
        <v>15</v>
      </c>
      <c r="C23" s="9">
        <v>90</v>
      </c>
      <c r="D23" s="18" t="str">
        <f t="shared" si="5"/>
        <v>No</v>
      </c>
      <c r="H23" s="20">
        <v>200</v>
      </c>
      <c r="I23" s="21" t="str">
        <f t="shared" si="7"/>
        <v>Excellent</v>
      </c>
      <c r="M23" s="27">
        <v>90</v>
      </c>
      <c r="N23" s="28" t="str">
        <f t="shared" si="6"/>
        <v>low performer</v>
      </c>
    </row>
    <row r="24" spans="1:14" x14ac:dyDescent="0.3">
      <c r="B24" s="9" t="s">
        <v>12</v>
      </c>
      <c r="C24" s="9">
        <v>220</v>
      </c>
      <c r="D24" s="18" t="str">
        <f t="shared" si="5"/>
        <v>yes</v>
      </c>
      <c r="H24" s="20">
        <v>90</v>
      </c>
      <c r="I24" s="21" t="str">
        <f t="shared" si="7"/>
        <v>invalid</v>
      </c>
      <c r="M24" s="27">
        <v>220</v>
      </c>
      <c r="N24" s="28" t="str">
        <f t="shared" si="6"/>
        <v>high performer</v>
      </c>
    </row>
    <row r="25" spans="1:14" x14ac:dyDescent="0.3">
      <c r="B25" s="9" t="s">
        <v>13</v>
      </c>
      <c r="C25" s="9">
        <v>130</v>
      </c>
      <c r="D25" s="18" t="str">
        <f t="shared" si="5"/>
        <v>No</v>
      </c>
      <c r="H25" s="20">
        <v>220</v>
      </c>
      <c r="I25" s="21" t="str">
        <f t="shared" si="7"/>
        <v>Excellent</v>
      </c>
      <c r="M25" s="27">
        <v>130</v>
      </c>
      <c r="N25" s="28" t="str">
        <f t="shared" si="6"/>
        <v>low performer</v>
      </c>
    </row>
    <row r="26" spans="1:14" x14ac:dyDescent="0.3">
      <c r="H26" s="20">
        <v>130</v>
      </c>
      <c r="I26" s="21" t="str">
        <f t="shared" si="7"/>
        <v>needs improved</v>
      </c>
    </row>
  </sheetData>
  <mergeCells count="9">
    <mergeCell ref="H1:J2"/>
    <mergeCell ref="B18:B19"/>
    <mergeCell ref="C18:C19"/>
    <mergeCell ref="D18:D19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73C9-4927-4422-B259-F4656A4EDA37}">
  <dimension ref="A1:Q22"/>
  <sheetViews>
    <sheetView workbookViewId="0">
      <selection activeCell="H21" sqref="H21"/>
    </sheetView>
  </sheetViews>
  <sheetFormatPr defaultRowHeight="14.4" x14ac:dyDescent="0.3"/>
  <cols>
    <col min="1" max="2" width="12.77734375" customWidth="1"/>
    <col min="3" max="3" width="14" customWidth="1"/>
    <col min="4" max="4" width="12.77734375" customWidth="1"/>
    <col min="5" max="5" width="10.33203125" bestFit="1" customWidth="1"/>
    <col min="10" max="10" width="13.44140625" customWidth="1"/>
    <col min="14" max="14" width="13" customWidth="1"/>
    <col min="15" max="15" width="12.33203125" customWidth="1"/>
    <col min="16" max="16" width="13" customWidth="1"/>
    <col min="17" max="17" width="12.109375" customWidth="1"/>
  </cols>
  <sheetData>
    <row r="1" spans="1:17" x14ac:dyDescent="0.3">
      <c r="A1" s="29" t="s">
        <v>41</v>
      </c>
      <c r="B1" s="29" t="s">
        <v>38</v>
      </c>
      <c r="C1" s="29" t="s">
        <v>39</v>
      </c>
      <c r="D1" s="29" t="s">
        <v>40</v>
      </c>
    </row>
    <row r="2" spans="1:17" x14ac:dyDescent="0.3">
      <c r="A2" s="11" t="s">
        <v>6</v>
      </c>
      <c r="B2" s="11" t="s">
        <v>12</v>
      </c>
      <c r="C2" s="30">
        <v>45292</v>
      </c>
      <c r="D2" s="11">
        <v>120</v>
      </c>
      <c r="F2" s="1">
        <v>1</v>
      </c>
      <c r="G2" s="31" t="s">
        <v>40</v>
      </c>
      <c r="I2" s="1">
        <v>2</v>
      </c>
      <c r="J2" s="29" t="s">
        <v>39</v>
      </c>
    </row>
    <row r="3" spans="1:17" x14ac:dyDescent="0.3">
      <c r="A3" s="11" t="s">
        <v>7</v>
      </c>
      <c r="B3" s="11" t="s">
        <v>13</v>
      </c>
      <c r="C3" s="30">
        <v>45293</v>
      </c>
      <c r="D3" s="11">
        <v>150</v>
      </c>
      <c r="G3" s="32">
        <v>120</v>
      </c>
      <c r="J3" s="33">
        <v>45292</v>
      </c>
    </row>
    <row r="4" spans="1:17" x14ac:dyDescent="0.3">
      <c r="A4" s="11" t="s">
        <v>6</v>
      </c>
      <c r="B4" s="11" t="s">
        <v>14</v>
      </c>
      <c r="C4" s="30">
        <v>45294</v>
      </c>
      <c r="D4" s="11">
        <v>200</v>
      </c>
      <c r="G4" s="32">
        <v>150</v>
      </c>
      <c r="J4" s="33">
        <v>45324</v>
      </c>
      <c r="N4" s="29" t="s">
        <v>41</v>
      </c>
      <c r="O4" s="29" t="s">
        <v>38</v>
      </c>
      <c r="P4" s="29" t="s">
        <v>39</v>
      </c>
      <c r="Q4" s="29" t="s">
        <v>40</v>
      </c>
    </row>
    <row r="5" spans="1:17" x14ac:dyDescent="0.3">
      <c r="A5" s="11" t="s">
        <v>8</v>
      </c>
      <c r="B5" s="11" t="s">
        <v>15</v>
      </c>
      <c r="C5" s="30">
        <v>45295</v>
      </c>
      <c r="D5" s="11">
        <v>90</v>
      </c>
      <c r="G5" s="32">
        <v>200</v>
      </c>
      <c r="J5" s="33">
        <v>45294</v>
      </c>
      <c r="N5" s="32" t="s">
        <v>6</v>
      </c>
      <c r="O5" s="32" t="s">
        <v>12</v>
      </c>
      <c r="P5" s="33">
        <v>45292</v>
      </c>
      <c r="Q5" s="32">
        <v>120</v>
      </c>
    </row>
    <row r="6" spans="1:17" x14ac:dyDescent="0.3">
      <c r="A6" s="11" t="s">
        <v>7</v>
      </c>
      <c r="B6" s="11" t="s">
        <v>12</v>
      </c>
      <c r="C6" s="30">
        <v>45296</v>
      </c>
      <c r="D6" s="11">
        <v>220</v>
      </c>
      <c r="G6" s="32">
        <v>90</v>
      </c>
      <c r="J6" s="33">
        <v>45295</v>
      </c>
      <c r="N6" s="32" t="s">
        <v>7</v>
      </c>
      <c r="O6" s="32" t="s">
        <v>13</v>
      </c>
      <c r="P6" s="33">
        <v>45293</v>
      </c>
      <c r="Q6" s="32">
        <v>150</v>
      </c>
    </row>
    <row r="7" spans="1:17" x14ac:dyDescent="0.3">
      <c r="A7" s="11" t="s">
        <v>6</v>
      </c>
      <c r="B7" s="11" t="s">
        <v>13</v>
      </c>
      <c r="C7" s="30">
        <v>45297</v>
      </c>
      <c r="D7" s="11">
        <v>130</v>
      </c>
      <c r="G7" s="32">
        <v>220</v>
      </c>
      <c r="J7" s="33">
        <v>45296</v>
      </c>
      <c r="N7" s="32" t="s">
        <v>6</v>
      </c>
      <c r="O7" s="32" t="s">
        <v>14</v>
      </c>
      <c r="P7" s="33">
        <v>45294</v>
      </c>
      <c r="Q7" s="32">
        <v>200</v>
      </c>
    </row>
    <row r="8" spans="1:17" x14ac:dyDescent="0.3">
      <c r="A8" s="11" t="s">
        <v>8</v>
      </c>
      <c r="B8" s="11" t="s">
        <v>12</v>
      </c>
      <c r="C8" s="30">
        <v>45298</v>
      </c>
      <c r="D8" s="11">
        <v>300</v>
      </c>
      <c r="G8" s="32">
        <v>130</v>
      </c>
      <c r="J8" s="33">
        <v>45297</v>
      </c>
      <c r="N8" s="32" t="s">
        <v>8</v>
      </c>
      <c r="O8" s="32" t="s">
        <v>15</v>
      </c>
      <c r="P8" s="33">
        <v>45295</v>
      </c>
      <c r="Q8" s="32">
        <v>90</v>
      </c>
    </row>
    <row r="9" spans="1:17" x14ac:dyDescent="0.3">
      <c r="A9" s="11" t="s">
        <v>7</v>
      </c>
      <c r="B9" s="11" t="s">
        <v>14</v>
      </c>
      <c r="C9" s="30">
        <v>45299</v>
      </c>
      <c r="D9" s="11">
        <v>80</v>
      </c>
      <c r="G9" s="32">
        <v>300</v>
      </c>
      <c r="J9" s="33">
        <v>45298</v>
      </c>
      <c r="N9" s="32" t="s">
        <v>7</v>
      </c>
      <c r="O9" s="32" t="s">
        <v>12</v>
      </c>
      <c r="P9" s="33">
        <v>45296</v>
      </c>
      <c r="Q9" s="32">
        <v>220</v>
      </c>
    </row>
    <row r="10" spans="1:17" x14ac:dyDescent="0.3">
      <c r="G10" s="32">
        <v>80</v>
      </c>
      <c r="J10" s="33">
        <v>45299</v>
      </c>
      <c r="N10" s="32" t="s">
        <v>6</v>
      </c>
      <c r="O10" s="32" t="s">
        <v>13</v>
      </c>
      <c r="P10" s="33">
        <v>45297</v>
      </c>
      <c r="Q10" s="32">
        <v>130</v>
      </c>
    </row>
    <row r="11" spans="1:17" x14ac:dyDescent="0.3">
      <c r="N11" s="32" t="s">
        <v>8</v>
      </c>
      <c r="O11" s="32" t="s">
        <v>12</v>
      </c>
      <c r="P11" s="33">
        <v>45298</v>
      </c>
      <c r="Q11" s="32">
        <v>300</v>
      </c>
    </row>
    <row r="12" spans="1:17" x14ac:dyDescent="0.3">
      <c r="N12" s="32" t="s">
        <v>7</v>
      </c>
      <c r="O12" s="32" t="s">
        <v>14</v>
      </c>
      <c r="P12" s="33">
        <v>45299</v>
      </c>
      <c r="Q12" s="32">
        <v>80</v>
      </c>
    </row>
    <row r="14" spans="1:17" x14ac:dyDescent="0.3">
      <c r="C14" s="34"/>
      <c r="D14" s="34"/>
      <c r="E14" s="34"/>
      <c r="F14" s="34"/>
    </row>
    <row r="15" spans="1:17" x14ac:dyDescent="0.3">
      <c r="E15" s="35"/>
    </row>
    <row r="16" spans="1:17" x14ac:dyDescent="0.3">
      <c r="E16" s="35"/>
    </row>
    <row r="17" spans="5:5" x14ac:dyDescent="0.3">
      <c r="E17" s="35"/>
    </row>
    <row r="18" spans="5:5" x14ac:dyDescent="0.3">
      <c r="E18" s="35"/>
    </row>
    <row r="19" spans="5:5" x14ac:dyDescent="0.3">
      <c r="E19" s="35"/>
    </row>
    <row r="20" spans="5:5" x14ac:dyDescent="0.3">
      <c r="E20" s="35"/>
    </row>
    <row r="21" spans="5:5" x14ac:dyDescent="0.3">
      <c r="E21" s="35"/>
    </row>
    <row r="22" spans="5:5" x14ac:dyDescent="0.3">
      <c r="E22" s="35"/>
    </row>
  </sheetData>
  <conditionalFormatting sqref="A2:D9">
    <cfRule type="expression" dxfId="16" priority="8">
      <formula>AND($A$2="product B",$B$2="north")</formula>
    </cfRule>
    <cfRule type="expression" dxfId="15" priority="9">
      <formula>AND($A2="product B", $B2="North")</formula>
    </cfRule>
    <cfRule type="expression" dxfId="14" priority="13">
      <formula>$A2="productA"</formula>
    </cfRule>
  </conditionalFormatting>
  <conditionalFormatting sqref="C2:C9">
    <cfRule type="expression" dxfId="13" priority="11">
      <formula>AND(MONTH(C2)=1, YEAR(C2)=2024)</formula>
    </cfRule>
  </conditionalFormatting>
  <conditionalFormatting sqref="C15:F22">
    <cfRule type="expression" dxfId="12" priority="1">
      <formula>AND($C$15="productB",$C$15="North")</formula>
    </cfRule>
  </conditionalFormatting>
  <conditionalFormatting sqref="D2:D9">
    <cfRule type="top10" dxfId="11" priority="10" rank="3"/>
  </conditionalFormatting>
  <conditionalFormatting sqref="G2:G10">
    <cfRule type="cellIs" dxfId="10" priority="15" operator="greaterThan">
      <formula>150</formula>
    </cfRule>
  </conditionalFormatting>
  <conditionalFormatting sqref="H6">
    <cfRule type="cellIs" dxfId="9" priority="16" operator="greaterThan">
      <formula>150</formula>
    </cfRule>
    <cfRule type="cellIs" dxfId="8" priority="17" operator="greaterThan">
      <formula>150</formula>
    </cfRule>
  </conditionalFormatting>
  <conditionalFormatting sqref="J3:J10">
    <cfRule type="expression" dxfId="7" priority="12">
      <formula>AND(MONTH($J$3)=1,YEAR($J$3)=2024)</formula>
    </cfRule>
    <cfRule type="expression" dxfId="6" priority="14">
      <formula>$J$3="productA"</formula>
    </cfRule>
  </conditionalFormatting>
  <conditionalFormatting sqref="N5:Q12">
    <cfRule type="expression" dxfId="5" priority="2">
      <formula>AND($N$5="productB",$N$5="North")</formula>
    </cfRule>
    <cfRule type="expression" dxfId="4" priority="3">
      <formula>AND($A$2="product B",$B$2="north")</formula>
    </cfRule>
    <cfRule type="expression" dxfId="3" priority="4">
      <formula>AND($A5="product B", $B5="North")</formula>
    </cfRule>
    <cfRule type="expression" dxfId="2" priority="7">
      <formula>$A5="productA"</formula>
    </cfRule>
  </conditionalFormatting>
  <conditionalFormatting sqref="P5:P12">
    <cfRule type="expression" dxfId="1" priority="6">
      <formula>AND(MONTH(P5)=1, YEAR(P5)=2024)</formula>
    </cfRule>
  </conditionalFormatting>
  <conditionalFormatting sqref="Q5:Q12">
    <cfRule type="top10" dxfId="0" priority="5" rank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C241-EF29-49FF-8EB4-010C8A6BAC17}">
  <dimension ref="A1:L8"/>
  <sheetViews>
    <sheetView workbookViewId="0">
      <selection activeCell="M1" sqref="M1"/>
    </sheetView>
  </sheetViews>
  <sheetFormatPr defaultRowHeight="14.4" x14ac:dyDescent="0.3"/>
  <cols>
    <col min="1" max="2" width="16.6640625" customWidth="1"/>
    <col min="3" max="3" width="12.5546875" customWidth="1"/>
    <col min="13" max="13" width="14.109375" customWidth="1"/>
  </cols>
  <sheetData>
    <row r="1" spans="1:12" x14ac:dyDescent="0.3">
      <c r="A1" s="37" t="s">
        <v>42</v>
      </c>
      <c r="B1" s="37" t="s">
        <v>1</v>
      </c>
      <c r="C1" s="37" t="s">
        <v>43</v>
      </c>
      <c r="F1" s="41"/>
      <c r="G1" s="41"/>
      <c r="H1" s="41"/>
      <c r="I1" s="40"/>
      <c r="K1">
        <v>1</v>
      </c>
    </row>
    <row r="2" spans="1:12" x14ac:dyDescent="0.3">
      <c r="A2" s="36">
        <v>101</v>
      </c>
      <c r="B2" s="36" t="s">
        <v>6</v>
      </c>
      <c r="C2" s="36">
        <v>120</v>
      </c>
      <c r="F2" s="1"/>
      <c r="G2" s="1"/>
      <c r="H2" s="1"/>
      <c r="L2" s="1"/>
    </row>
    <row r="3" spans="1:12" x14ac:dyDescent="0.3">
      <c r="A3" s="36">
        <v>102</v>
      </c>
      <c r="B3" s="36" t="s">
        <v>7</v>
      </c>
      <c r="C3" s="36">
        <v>150</v>
      </c>
      <c r="F3" s="1"/>
      <c r="G3" s="1"/>
      <c r="H3" s="1"/>
      <c r="L3" s="1"/>
    </row>
    <row r="4" spans="1:12" x14ac:dyDescent="0.3">
      <c r="A4" s="36">
        <v>103</v>
      </c>
      <c r="B4" s="36" t="s">
        <v>8</v>
      </c>
      <c r="C4" s="36">
        <v>200</v>
      </c>
      <c r="F4" s="1"/>
      <c r="G4" s="1"/>
      <c r="H4" s="1"/>
      <c r="L4" s="1"/>
    </row>
    <row r="5" spans="1:12" x14ac:dyDescent="0.3">
      <c r="A5" s="36">
        <v>104</v>
      </c>
      <c r="B5" s="36" t="s">
        <v>9</v>
      </c>
      <c r="C5" s="36">
        <v>90</v>
      </c>
      <c r="F5" s="1"/>
      <c r="G5" s="1"/>
      <c r="H5" s="1"/>
      <c r="L5" s="1"/>
    </row>
    <row r="6" spans="1:12" x14ac:dyDescent="0.3">
      <c r="A6" s="36">
        <v>105</v>
      </c>
      <c r="B6" s="36" t="s">
        <v>10</v>
      </c>
      <c r="C6" s="36">
        <v>220</v>
      </c>
      <c r="F6" s="1"/>
      <c r="G6" s="1"/>
      <c r="H6" s="1"/>
      <c r="L6" s="1"/>
    </row>
    <row r="7" spans="1:12" x14ac:dyDescent="0.3">
      <c r="A7" s="36">
        <v>106</v>
      </c>
      <c r="B7" s="36" t="s">
        <v>11</v>
      </c>
      <c r="C7" s="36">
        <v>130</v>
      </c>
      <c r="F7" s="1"/>
      <c r="G7" s="1"/>
      <c r="H7" s="1"/>
      <c r="L7" s="1"/>
    </row>
    <row r="8" spans="1:12" x14ac:dyDescent="0.3">
      <c r="A8" s="1"/>
      <c r="B8" s="1"/>
      <c r="C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4A28-FF8E-4016-9C36-8B0B728692E6}">
  <dimension ref="A1:L17"/>
  <sheetViews>
    <sheetView workbookViewId="0">
      <selection activeCell="H23" sqref="H23"/>
    </sheetView>
  </sheetViews>
  <sheetFormatPr defaultRowHeight="14.4" x14ac:dyDescent="0.3"/>
  <cols>
    <col min="1" max="1" width="12" customWidth="1"/>
    <col min="2" max="2" width="15.88671875" customWidth="1"/>
    <col min="3" max="4" width="13.6640625" customWidth="1"/>
    <col min="5" max="5" width="12.6640625" customWidth="1"/>
    <col min="8" max="8" width="12.33203125" customWidth="1"/>
    <col min="9" max="9" width="12.33203125" bestFit="1" customWidth="1"/>
    <col min="11" max="11" width="12.6640625" customWidth="1"/>
    <col min="12" max="12" width="17.6640625" customWidth="1"/>
  </cols>
  <sheetData>
    <row r="1" spans="1:12" x14ac:dyDescent="0.3">
      <c r="A1" s="37" t="s">
        <v>44</v>
      </c>
      <c r="B1" s="37" t="s">
        <v>42</v>
      </c>
      <c r="C1" s="37" t="s">
        <v>45</v>
      </c>
      <c r="D1" s="38" t="s">
        <v>43</v>
      </c>
      <c r="E1" s="38" t="s">
        <v>46</v>
      </c>
    </row>
    <row r="2" spans="1:12" x14ac:dyDescent="0.3">
      <c r="A2" s="36">
        <v>1</v>
      </c>
      <c r="B2" s="36">
        <v>101</v>
      </c>
      <c r="C2" s="36">
        <v>2</v>
      </c>
      <c r="D2">
        <f>VLOOKUP(B2,Sheet3!$A$2:$C$7,3,0)</f>
        <v>120</v>
      </c>
      <c r="E2">
        <f>C2*D2</f>
        <v>240</v>
      </c>
      <c r="G2" s="1">
        <v>1</v>
      </c>
      <c r="H2" s="39" t="s">
        <v>0</v>
      </c>
      <c r="I2" s="39" t="s">
        <v>47</v>
      </c>
      <c r="K2" s="39" t="s">
        <v>0</v>
      </c>
      <c r="L2" s="42" t="s">
        <v>48</v>
      </c>
    </row>
    <row r="3" spans="1:12" x14ac:dyDescent="0.3">
      <c r="A3" s="36">
        <v>2</v>
      </c>
      <c r="B3" s="36">
        <v>103</v>
      </c>
      <c r="C3" s="36">
        <v>1</v>
      </c>
      <c r="D3">
        <f>VLOOKUP(B3,Sheet3!$A$2:$C$7,3,0)</f>
        <v>200</v>
      </c>
      <c r="E3">
        <f t="shared" ref="E3:E7" si="0">C3*D3</f>
        <v>200</v>
      </c>
      <c r="H3" s="36">
        <v>101</v>
      </c>
      <c r="I3" s="39" t="str">
        <f>VLOOKUP(H3,Sheet3!$A$2:$C$7,2,0)</f>
        <v>productA</v>
      </c>
      <c r="K3" s="36">
        <v>101</v>
      </c>
      <c r="L3" t="str">
        <f>IF(ISNA(VLOOKUP(K3,Sheet3!$A$2:$C$7,1,0)),"not found","ok")</f>
        <v>ok</v>
      </c>
    </row>
    <row r="4" spans="1:12" x14ac:dyDescent="0.3">
      <c r="A4" s="36">
        <v>3</v>
      </c>
      <c r="B4" s="36">
        <v>105</v>
      </c>
      <c r="C4" s="36">
        <v>4</v>
      </c>
      <c r="D4">
        <f>VLOOKUP(B4,Sheet3!$A$2:$C$7,3,0)</f>
        <v>220</v>
      </c>
      <c r="E4">
        <f t="shared" si="0"/>
        <v>880</v>
      </c>
      <c r="H4" s="36">
        <v>103</v>
      </c>
      <c r="I4" s="39" t="str">
        <f>VLOOKUP(H4,Sheet3!$A$2:$C$7,2,0)</f>
        <v>productC</v>
      </c>
      <c r="K4" s="36">
        <v>103</v>
      </c>
      <c r="L4" t="str">
        <f>IF(ISNA(VLOOKUP(K4,Sheet3!$A$2:$C$7,1,0)),"not found","ok")</f>
        <v>ok</v>
      </c>
    </row>
    <row r="5" spans="1:12" x14ac:dyDescent="0.3">
      <c r="A5" s="36">
        <v>4</v>
      </c>
      <c r="B5" s="36">
        <v>106</v>
      </c>
      <c r="C5" s="36">
        <v>3</v>
      </c>
      <c r="D5">
        <f>VLOOKUP(B5,Sheet3!$A$2:$C$7,3,0)</f>
        <v>130</v>
      </c>
      <c r="E5">
        <f t="shared" si="0"/>
        <v>390</v>
      </c>
      <c r="H5" s="36">
        <v>105</v>
      </c>
      <c r="I5" s="39" t="str">
        <f>VLOOKUP(H5,Sheet3!$A$2:$C$7,2,0)</f>
        <v>productE</v>
      </c>
      <c r="K5" s="36">
        <v>105</v>
      </c>
      <c r="L5" t="str">
        <f>IF(ISNA(VLOOKUP(K5,Sheet3!$A$2:$C$7,1,0)),"not found","ok")</f>
        <v>ok</v>
      </c>
    </row>
    <row r="6" spans="1:12" x14ac:dyDescent="0.3">
      <c r="A6" s="36">
        <v>5</v>
      </c>
      <c r="B6" s="36">
        <v>102</v>
      </c>
      <c r="C6" s="36">
        <v>5</v>
      </c>
      <c r="D6">
        <f>VLOOKUP(B6,Sheet3!$A$2:$C$7,3,0)</f>
        <v>150</v>
      </c>
      <c r="E6">
        <f t="shared" si="0"/>
        <v>750</v>
      </c>
      <c r="H6" s="36">
        <v>106</v>
      </c>
      <c r="I6" s="39" t="str">
        <f>VLOOKUP(H6,Sheet3!$A$2:$C$7,2,0)</f>
        <v>productF</v>
      </c>
      <c r="K6" s="36">
        <v>106</v>
      </c>
      <c r="L6" t="str">
        <f>IF(ISNA(VLOOKUP(K6,Sheet3!$A$2:$C$7,1,0)),"not found","ok")</f>
        <v>ok</v>
      </c>
    </row>
    <row r="7" spans="1:12" x14ac:dyDescent="0.3">
      <c r="A7" s="36">
        <v>6</v>
      </c>
      <c r="B7" s="36">
        <v>104</v>
      </c>
      <c r="C7" s="36">
        <v>6</v>
      </c>
      <c r="D7">
        <f>VLOOKUP(B7,Sheet3!$A$2:$C$7,3,0)</f>
        <v>90</v>
      </c>
      <c r="E7">
        <f t="shared" si="0"/>
        <v>540</v>
      </c>
      <c r="H7" s="36">
        <v>102</v>
      </c>
      <c r="I7" s="39" t="str">
        <f>VLOOKUP(H7,Sheet3!$A$2:$C$7,2,0)</f>
        <v>productB</v>
      </c>
      <c r="K7" s="36">
        <v>102</v>
      </c>
      <c r="L7" t="str">
        <f>IF(ISNA(VLOOKUP(K7,Sheet3!$A$2:$C$7,1,0)),"not found","ok")</f>
        <v>ok</v>
      </c>
    </row>
    <row r="8" spans="1:12" x14ac:dyDescent="0.3">
      <c r="H8" s="36">
        <v>104</v>
      </c>
      <c r="I8" s="39" t="str">
        <f>VLOOKUP(H8,Sheet3!$A$2:$C$7,2,0)</f>
        <v>productD</v>
      </c>
      <c r="K8" s="36">
        <v>104</v>
      </c>
      <c r="L8" t="str">
        <f>IF(ISNA(VLOOKUP(K8,Sheet3!$A$2:$C$7,1,0)),"not found","ok")</f>
        <v>ok</v>
      </c>
    </row>
    <row r="10" spans="1:12" x14ac:dyDescent="0.3">
      <c r="B10" t="str">
        <f>IF(ISNA(VLOOKUP(Sheet4!B2,Sheet4!$A$2:$C$7,1,0)),"NOT FOUND","OK")</f>
        <v>NOT FOUND</v>
      </c>
    </row>
    <row r="11" spans="1:12" x14ac:dyDescent="0.3">
      <c r="B11" t="str">
        <f>IF(ISNA(VLOOKUP(Sheet4!B3,Sheet4!$A$2:$C$7,1,0)),"NOT FOUND","OK")</f>
        <v>NOT FOUND</v>
      </c>
      <c r="D11" s="39" t="s">
        <v>0</v>
      </c>
      <c r="E11" t="s">
        <v>2</v>
      </c>
      <c r="H11" t="s">
        <v>47</v>
      </c>
      <c r="J11">
        <f>VLOOKUP(Sheet3!A2,Sheet4!$B$2:$B$7,1,0)</f>
        <v>101</v>
      </c>
      <c r="L11" t="str">
        <f>VLOOKUP(Sheet3!A2,Sheet3!A2:C7,2,0)</f>
        <v>productA</v>
      </c>
    </row>
    <row r="12" spans="1:12" x14ac:dyDescent="0.3">
      <c r="B12" t="str">
        <f>IF(ISNA(VLOOKUP(Sheet4!B4,Sheet4!$A$2:$C$7,1,0)),"NOT FOUND","OK")</f>
        <v>NOT FOUND</v>
      </c>
      <c r="D12" s="36">
        <v>101</v>
      </c>
      <c r="E12">
        <f>VLOOKUP(Sheet4!D12,Sheet3!$A$2:$C$7,3,0)</f>
        <v>120</v>
      </c>
      <c r="H12">
        <f>MAX($D$2:$D$7)</f>
        <v>220</v>
      </c>
      <c r="J12">
        <f>VLOOKUP(Sheet3!A3,Sheet4!$B$2:$B$7,1,0)</f>
        <v>102</v>
      </c>
      <c r="L12" t="str">
        <f>VLOOKUP(Sheet3!A3,Sheet3!A3:C8,2,0)</f>
        <v>productB</v>
      </c>
    </row>
    <row r="13" spans="1:12" x14ac:dyDescent="0.3">
      <c r="B13" t="str">
        <f>IF(ISNA(VLOOKUP(Sheet4!B5,Sheet4!$A$2:$C$7,1,0)),"NOT FOUND","OK")</f>
        <v>NOT FOUND</v>
      </c>
      <c r="D13" s="36">
        <v>103</v>
      </c>
      <c r="E13">
        <f>VLOOKUP(Sheet4!D13,Sheet3!$A$2:$C$7,3,0)</f>
        <v>200</v>
      </c>
      <c r="J13">
        <f>VLOOKUP(Sheet3!A4,Sheet4!$B$2:$B$7,1,0)</f>
        <v>103</v>
      </c>
      <c r="L13" t="str">
        <f>VLOOKUP(Sheet3!A4,Sheet3!A4:C9,2,0)</f>
        <v>productC</v>
      </c>
    </row>
    <row r="14" spans="1:12" x14ac:dyDescent="0.3">
      <c r="B14" t="str">
        <f>IF(ISNA(VLOOKUP(Sheet4!B6,Sheet4!$A$2:$C$7,1,0)),"NOT FOUND","OK")</f>
        <v>NOT FOUND</v>
      </c>
      <c r="D14" s="36">
        <v>105</v>
      </c>
      <c r="E14">
        <f>VLOOKUP(Sheet4!D14,Sheet3!$A$2:$C$7,3,0)</f>
        <v>220</v>
      </c>
      <c r="J14">
        <f>VLOOKUP(Sheet3!A5,Sheet4!$B$2:$B$7,1,0)</f>
        <v>104</v>
      </c>
      <c r="L14" t="str">
        <f>VLOOKUP(Sheet3!A5,Sheet3!A5:C10,2,0)</f>
        <v>productD</v>
      </c>
    </row>
    <row r="15" spans="1:12" x14ac:dyDescent="0.3">
      <c r="B15" t="str">
        <f>IF(ISNA(VLOOKUP(Sheet4!B7,Sheet4!$A$2:$C$7,1,0)),"NOT FOUND","OK")</f>
        <v>NOT FOUND</v>
      </c>
      <c r="D15" s="36">
        <v>106</v>
      </c>
      <c r="E15">
        <f>VLOOKUP(Sheet4!D15,Sheet3!$A$2:$C$7,3,0)</f>
        <v>130</v>
      </c>
      <c r="J15">
        <f>VLOOKUP(Sheet3!A6,Sheet4!$B$2:$B$7,1,0)</f>
        <v>105</v>
      </c>
      <c r="L15" t="str">
        <f>VLOOKUP(Sheet3!A6,Sheet3!A6:C11,2,0)</f>
        <v>productE</v>
      </c>
    </row>
    <row r="16" spans="1:12" x14ac:dyDescent="0.3">
      <c r="B16" t="str">
        <f>IF(ISNA(VLOOKUP(Sheet4!B8,Sheet4!$A$2:$C$7,1,0)),"NOT FOUND","OK")</f>
        <v>NOT FOUND</v>
      </c>
      <c r="D16" s="36">
        <v>102</v>
      </c>
      <c r="E16">
        <f>VLOOKUP(Sheet4!D16,Sheet3!$A$2:$C$7,3,0)</f>
        <v>150</v>
      </c>
      <c r="J16">
        <f>VLOOKUP(Sheet3!A7,Sheet4!$B$2:$B$7,1,0)</f>
        <v>106</v>
      </c>
      <c r="L16" t="str">
        <f>VLOOKUP(Sheet3!A7,Sheet3!A7:C12,2,0)</f>
        <v>productF</v>
      </c>
    </row>
    <row r="17" spans="4:12" x14ac:dyDescent="0.3">
      <c r="D17" s="36">
        <v>104</v>
      </c>
      <c r="E17">
        <f>VLOOKUP(Sheet4!D17,Sheet3!$A$2:$C$7,3,0)</f>
        <v>90</v>
      </c>
      <c r="J17" t="e">
        <f>VLOOKUP(Sheet3!A8,Sheet4!$B$2:$B$7,1,0)</f>
        <v>#N/A</v>
      </c>
      <c r="L17" t="e">
        <f>VLOOKUP(Sheet3!A8,Sheet3!A8:C13,2,0)</f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73E2-5998-4C61-BB6E-F8F97564562E}">
  <dimension ref="A1:M218"/>
  <sheetViews>
    <sheetView tabSelected="1" workbookViewId="0">
      <selection activeCell="O40" sqref="O40"/>
    </sheetView>
  </sheetViews>
  <sheetFormatPr defaultRowHeight="14.4" x14ac:dyDescent="0.3"/>
  <sheetData>
    <row r="1" spans="1:13" ht="18" x14ac:dyDescent="0.35">
      <c r="A1" s="51"/>
      <c r="B1" s="51"/>
      <c r="C1" s="51"/>
      <c r="D1" s="51"/>
      <c r="E1" s="51"/>
      <c r="F1" s="51"/>
    </row>
    <row r="2" spans="1:13" x14ac:dyDescent="0.3">
      <c r="A2" s="50"/>
      <c r="B2" s="50"/>
      <c r="C2" s="50"/>
      <c r="D2" s="50"/>
      <c r="E2" s="50"/>
      <c r="F2" s="50"/>
      <c r="I2" s="55" t="s">
        <v>58</v>
      </c>
      <c r="J2" s="46"/>
    </row>
    <row r="3" spans="1:13" x14ac:dyDescent="0.3">
      <c r="A3" s="50"/>
      <c r="B3" s="50"/>
      <c r="C3" s="50"/>
      <c r="D3" s="50"/>
      <c r="E3" s="50"/>
      <c r="F3" s="50"/>
      <c r="I3" s="46"/>
      <c r="J3" s="46"/>
    </row>
    <row r="4" spans="1:13" x14ac:dyDescent="0.3">
      <c r="A4" s="50"/>
      <c r="B4" s="50"/>
      <c r="C4" s="50"/>
      <c r="D4" s="50"/>
      <c r="E4" s="50"/>
      <c r="F4" s="50"/>
    </row>
    <row r="5" spans="1:13" x14ac:dyDescent="0.3">
      <c r="A5" s="50"/>
      <c r="B5" s="50"/>
      <c r="C5" s="50"/>
      <c r="D5" s="50"/>
      <c r="E5" s="50"/>
      <c r="F5" s="50"/>
    </row>
    <row r="6" spans="1:13" x14ac:dyDescent="0.3">
      <c r="A6" s="50"/>
      <c r="B6" s="50"/>
      <c r="C6" s="50"/>
      <c r="D6" s="50"/>
      <c r="E6" s="50"/>
      <c r="F6" s="50"/>
    </row>
    <row r="7" spans="1:13" x14ac:dyDescent="0.3">
      <c r="A7" s="50"/>
      <c r="B7" s="50"/>
      <c r="C7" s="50"/>
      <c r="D7" s="50"/>
      <c r="E7" s="50"/>
      <c r="F7" s="50"/>
    </row>
    <row r="8" spans="1:13" ht="18" x14ac:dyDescent="0.35">
      <c r="A8" s="50"/>
      <c r="B8" s="50"/>
      <c r="C8" s="50"/>
      <c r="D8" s="50"/>
      <c r="E8" s="50"/>
      <c r="F8" s="52"/>
      <c r="H8" s="47" t="s">
        <v>1</v>
      </c>
      <c r="I8" s="47" t="s">
        <v>49</v>
      </c>
      <c r="J8" s="47" t="s">
        <v>50</v>
      </c>
      <c r="K8" s="47" t="s">
        <v>51</v>
      </c>
      <c r="L8" s="47" t="s">
        <v>52</v>
      </c>
      <c r="M8" s="47" t="s">
        <v>53</v>
      </c>
    </row>
    <row r="9" spans="1:13" x14ac:dyDescent="0.3">
      <c r="A9" s="50"/>
      <c r="B9" s="50"/>
      <c r="C9" s="50"/>
      <c r="D9" s="50"/>
      <c r="E9" s="50"/>
      <c r="F9" s="52"/>
      <c r="H9" s="43" t="s">
        <v>6</v>
      </c>
      <c r="I9" s="43">
        <v>120</v>
      </c>
      <c r="J9" s="43">
        <v>130</v>
      </c>
      <c r="K9" s="43">
        <v>140</v>
      </c>
      <c r="L9" s="43">
        <v>150</v>
      </c>
      <c r="M9" s="43">
        <v>160</v>
      </c>
    </row>
    <row r="10" spans="1:13" x14ac:dyDescent="0.3">
      <c r="A10" s="53"/>
      <c r="B10" s="50"/>
      <c r="C10" s="50"/>
      <c r="D10" s="50"/>
      <c r="E10" s="50"/>
      <c r="F10" s="54"/>
      <c r="H10" s="39" t="s">
        <v>7</v>
      </c>
      <c r="I10" s="39">
        <v>150</v>
      </c>
      <c r="J10" s="39">
        <v>160</v>
      </c>
      <c r="K10" s="39">
        <v>170</v>
      </c>
      <c r="L10" s="39">
        <v>180</v>
      </c>
      <c r="M10" s="39">
        <v>190</v>
      </c>
    </row>
    <row r="11" spans="1:13" x14ac:dyDescent="0.3">
      <c r="A11" s="50"/>
      <c r="B11" s="50"/>
      <c r="C11" s="50"/>
      <c r="D11" s="50"/>
      <c r="E11" s="50"/>
      <c r="F11" s="52"/>
      <c r="H11" s="43" t="s">
        <v>8</v>
      </c>
      <c r="I11" s="43">
        <v>200</v>
      </c>
      <c r="J11" s="43">
        <v>210</v>
      </c>
      <c r="K11" s="43">
        <v>220</v>
      </c>
      <c r="L11" s="43">
        <v>230</v>
      </c>
      <c r="M11" s="43">
        <v>240</v>
      </c>
    </row>
    <row r="12" spans="1:13" x14ac:dyDescent="0.3">
      <c r="A12" s="53"/>
      <c r="B12" s="50"/>
      <c r="C12" s="50"/>
      <c r="D12" s="50"/>
      <c r="E12" s="50"/>
      <c r="F12" s="52"/>
      <c r="H12" s="39" t="s">
        <v>9</v>
      </c>
      <c r="I12" s="39">
        <v>90</v>
      </c>
      <c r="J12" s="39">
        <v>100</v>
      </c>
      <c r="K12" s="39">
        <v>110</v>
      </c>
      <c r="L12" s="39">
        <v>120</v>
      </c>
      <c r="M12" s="39">
        <v>130</v>
      </c>
    </row>
    <row r="13" spans="1:13" x14ac:dyDescent="0.3">
      <c r="A13" s="50"/>
      <c r="B13" s="50"/>
      <c r="C13" s="50"/>
      <c r="D13" s="50"/>
      <c r="E13" s="50"/>
      <c r="F13" s="52"/>
      <c r="H13" s="43" t="s">
        <v>10</v>
      </c>
      <c r="I13" s="43">
        <v>220</v>
      </c>
      <c r="J13" s="43">
        <v>230</v>
      </c>
      <c r="K13" s="43">
        <v>240</v>
      </c>
      <c r="L13" s="43">
        <v>250</v>
      </c>
      <c r="M13" s="43">
        <v>260</v>
      </c>
    </row>
    <row r="14" spans="1:13" x14ac:dyDescent="0.3">
      <c r="A14" s="50"/>
      <c r="B14" s="50"/>
      <c r="C14" s="50"/>
      <c r="D14" s="50"/>
      <c r="E14" s="50"/>
      <c r="F14" s="52"/>
      <c r="H14" s="39" t="s">
        <v>11</v>
      </c>
      <c r="I14" s="39">
        <v>130</v>
      </c>
      <c r="J14" s="39">
        <v>140</v>
      </c>
      <c r="K14" s="39">
        <v>150</v>
      </c>
      <c r="L14" s="39">
        <v>160</v>
      </c>
      <c r="M14" s="39">
        <v>170</v>
      </c>
    </row>
    <row r="15" spans="1:13" x14ac:dyDescent="0.3">
      <c r="A15" s="53"/>
      <c r="B15" s="50"/>
      <c r="C15" s="50"/>
      <c r="D15" s="50"/>
      <c r="E15" s="50"/>
      <c r="F15" s="52"/>
    </row>
    <row r="16" spans="1:13" x14ac:dyDescent="0.3">
      <c r="A16" s="50"/>
      <c r="B16" s="50"/>
      <c r="C16" s="50"/>
      <c r="D16" s="50"/>
      <c r="E16" s="50"/>
      <c r="F16" s="52"/>
      <c r="I16" s="12" t="s">
        <v>41</v>
      </c>
      <c r="J16" s="12" t="s">
        <v>52</v>
      </c>
    </row>
    <row r="17" spans="1:13" x14ac:dyDescent="0.3">
      <c r="A17" s="50"/>
      <c r="B17" s="50"/>
      <c r="C17" s="50"/>
      <c r="D17" s="50"/>
      <c r="E17" s="50"/>
      <c r="F17" s="52"/>
      <c r="H17" s="1">
        <v>1</v>
      </c>
      <c r="I17" s="49" t="s">
        <v>6</v>
      </c>
      <c r="J17" s="39" t="e">
        <f>HLOOKUP(J16,$A$1:$F$7,2,0)</f>
        <v>#N/A</v>
      </c>
      <c r="M17" s="1"/>
    </row>
    <row r="18" spans="1:13" x14ac:dyDescent="0.3">
      <c r="A18" s="53"/>
      <c r="B18" s="50"/>
      <c r="C18" s="50"/>
      <c r="D18" s="50"/>
      <c r="E18" s="50"/>
      <c r="F18" s="52"/>
    </row>
    <row r="19" spans="1:13" x14ac:dyDescent="0.3">
      <c r="A19" s="50"/>
      <c r="B19" s="50"/>
      <c r="C19" s="50"/>
      <c r="D19" s="50"/>
      <c r="E19" s="50"/>
      <c r="F19" s="52"/>
      <c r="H19" s="1">
        <v>2</v>
      </c>
      <c r="I19" s="11" t="s">
        <v>1</v>
      </c>
      <c r="J19" s="11" t="s">
        <v>53</v>
      </c>
    </row>
    <row r="20" spans="1:13" x14ac:dyDescent="0.3">
      <c r="A20" s="50"/>
      <c r="B20" s="50"/>
      <c r="C20" s="50"/>
      <c r="D20" s="50"/>
      <c r="E20" s="50"/>
      <c r="F20" s="52"/>
      <c r="I20" s="39" t="s">
        <v>9</v>
      </c>
      <c r="J20" s="39" t="e">
        <f>HLOOKUP(J19,$A$1:$F$7,5,0)</f>
        <v>#N/A</v>
      </c>
    </row>
    <row r="21" spans="1:13" x14ac:dyDescent="0.3">
      <c r="A21" s="53"/>
      <c r="B21" s="50"/>
      <c r="C21" s="50"/>
      <c r="D21" s="50"/>
      <c r="E21" s="50"/>
      <c r="F21" s="52"/>
    </row>
    <row r="22" spans="1:13" x14ac:dyDescent="0.3">
      <c r="A22" s="50"/>
      <c r="B22" s="50"/>
      <c r="C22" s="50"/>
      <c r="D22" s="50"/>
      <c r="E22" s="50"/>
      <c r="F22" s="52"/>
      <c r="H22" s="1">
        <v>3</v>
      </c>
      <c r="I22" s="12" t="s">
        <v>1</v>
      </c>
      <c r="J22" s="12" t="s">
        <v>50</v>
      </c>
    </row>
    <row r="23" spans="1:13" x14ac:dyDescent="0.3">
      <c r="A23" s="50"/>
      <c r="B23" s="50"/>
      <c r="C23" s="50"/>
      <c r="D23" s="50"/>
      <c r="E23" s="50"/>
      <c r="F23" s="52"/>
      <c r="I23" s="39" t="s">
        <v>8</v>
      </c>
      <c r="J23" s="39" t="e">
        <f>HLOOKUP(J22,$A$1:$F$7,4,0)</f>
        <v>#N/A</v>
      </c>
    </row>
    <row r="24" spans="1:13" x14ac:dyDescent="0.3">
      <c r="A24" s="53"/>
      <c r="B24" s="50"/>
      <c r="C24" s="50"/>
      <c r="D24" s="50"/>
      <c r="E24" s="50"/>
      <c r="F24" s="52"/>
    </row>
    <row r="25" spans="1:13" x14ac:dyDescent="0.3">
      <c r="A25" s="50"/>
      <c r="B25" s="50"/>
      <c r="C25" s="50"/>
      <c r="D25" s="50"/>
      <c r="E25" s="50"/>
      <c r="F25" s="52"/>
      <c r="H25" s="1">
        <v>4</v>
      </c>
      <c r="I25" s="11" t="s">
        <v>1</v>
      </c>
      <c r="J25" s="11" t="s">
        <v>54</v>
      </c>
    </row>
    <row r="26" spans="1:13" x14ac:dyDescent="0.3">
      <c r="A26" s="50"/>
      <c r="B26" s="50"/>
      <c r="C26" s="50"/>
      <c r="D26" s="50"/>
      <c r="E26" s="50"/>
      <c r="F26" s="52"/>
      <c r="I26" s="39" t="s">
        <v>6</v>
      </c>
      <c r="J26" s="39" t="e">
        <f>HLOOKUP("jan",$A$1:$F$7,2,0)+HLOOKUP("feb",$A$1:$F$7,2,0)+HLOOKUP("mar",$A$1:$F$7,2,0)+HLOOKUP("apr",$A$1:$F$7,2,0)+HLOOKUP("may",$A$1:$F$7,2,0)</f>
        <v>#N/A</v>
      </c>
    </row>
    <row r="27" spans="1:13" x14ac:dyDescent="0.3">
      <c r="A27" s="53"/>
      <c r="B27" s="50"/>
      <c r="C27" s="50"/>
      <c r="D27" s="50"/>
      <c r="E27" s="50"/>
      <c r="F27" s="52"/>
    </row>
    <row r="28" spans="1:13" x14ac:dyDescent="0.3">
      <c r="A28" s="50"/>
      <c r="B28" s="50"/>
      <c r="C28" s="50"/>
      <c r="D28" s="50"/>
      <c r="E28" s="50"/>
      <c r="F28" s="52"/>
      <c r="H28" s="1">
        <v>5</v>
      </c>
      <c r="I28" s="12" t="s">
        <v>1</v>
      </c>
      <c r="J28" s="12" t="s">
        <v>55</v>
      </c>
    </row>
    <row r="29" spans="1:13" x14ac:dyDescent="0.3">
      <c r="A29" s="50"/>
      <c r="B29" s="50"/>
      <c r="C29" s="50"/>
      <c r="D29" s="50"/>
      <c r="E29" s="50"/>
      <c r="F29" s="52"/>
      <c r="I29" s="39" t="s">
        <v>7</v>
      </c>
      <c r="J29" s="39" t="e">
        <f>MAX(HLOOKUP("jan",$A$1:$F$7,3,0),HLOOKUP("feb",$A$1:$F$7,3,0),HLOOKUP("mar",$A$1:$F$7,3,0),HLOOKUP("apr",$A$1:$F$7,3,0),HLOOKUP("may",$A$1:$F$7,3,0))</f>
        <v>#N/A</v>
      </c>
    </row>
    <row r="30" spans="1:13" x14ac:dyDescent="0.3">
      <c r="A30" s="48"/>
      <c r="B30" s="48"/>
      <c r="C30" s="48"/>
      <c r="D30" s="48"/>
      <c r="E30" s="48"/>
    </row>
    <row r="31" spans="1:13" x14ac:dyDescent="0.3">
      <c r="A31" s="48"/>
      <c r="B31" s="48"/>
      <c r="C31" s="48"/>
      <c r="D31" s="48"/>
      <c r="E31" s="48"/>
      <c r="H31" s="1">
        <v>6</v>
      </c>
      <c r="I31" s="11" t="s">
        <v>1</v>
      </c>
      <c r="J31" s="11" t="s">
        <v>56</v>
      </c>
    </row>
    <row r="32" spans="1:13" x14ac:dyDescent="0.3">
      <c r="A32" s="48"/>
      <c r="B32" s="48"/>
      <c r="C32" s="48"/>
      <c r="D32" s="48"/>
      <c r="E32" s="48"/>
      <c r="I32" s="39" t="s">
        <v>11</v>
      </c>
      <c r="J32" s="39" t="e">
        <f>MIN(HLOOKUP("jan",$A$1:$F$7,7,0),HLOOKUP("feb",$A$1:$F$7,7,0),HLOOKUP("mar",$A$1:$F$7,7,0),HLOOKUP("apr",$A$1:$F$7,7,0),HLOOKUP("may",$A$1:$F$7,7,0))</f>
        <v>#N/A</v>
      </c>
    </row>
    <row r="33" spans="1:10" x14ac:dyDescent="0.3">
      <c r="A33" s="48"/>
      <c r="B33" s="48"/>
      <c r="C33" s="48"/>
      <c r="D33" s="48"/>
      <c r="E33" s="48"/>
    </row>
    <row r="34" spans="1:10" x14ac:dyDescent="0.3">
      <c r="A34" s="48"/>
      <c r="B34" s="48"/>
      <c r="C34" s="48"/>
      <c r="D34" s="48"/>
      <c r="E34" s="48"/>
      <c r="H34" s="1">
        <v>7</v>
      </c>
      <c r="I34" s="12" t="s">
        <v>1</v>
      </c>
      <c r="J34" s="12" t="s">
        <v>57</v>
      </c>
    </row>
    <row r="35" spans="1:10" x14ac:dyDescent="0.3">
      <c r="A35" s="48"/>
      <c r="B35" s="48"/>
      <c r="C35" s="48"/>
      <c r="D35" s="48"/>
      <c r="E35" s="48"/>
      <c r="I35" s="39" t="s">
        <v>10</v>
      </c>
      <c r="J35" s="39" t="e">
        <f>AVERAGE(HLOOKUP("jan",$A$1:$F$7,6,0),HLOOKUP("feb",$A$1:$F$7,6,0),HLOOKUP("mar",$A$1:$F$7,2,0),HLOOKUP("apr",$A$1:$F$7,6,0),HLOOKUP("may",$A$1:$F$7,6,0))</f>
        <v>#N/A</v>
      </c>
    </row>
    <row r="36" spans="1:10" x14ac:dyDescent="0.3">
      <c r="A36" s="48"/>
      <c r="B36" s="48"/>
      <c r="C36" s="48"/>
      <c r="D36" s="48"/>
      <c r="E36" s="48"/>
    </row>
    <row r="37" spans="1:10" x14ac:dyDescent="0.3">
      <c r="A37" s="48"/>
      <c r="B37" s="48"/>
      <c r="C37" s="48"/>
      <c r="D37" s="48"/>
      <c r="E37" s="48"/>
    </row>
    <row r="38" spans="1:10" x14ac:dyDescent="0.3">
      <c r="A38" s="48"/>
      <c r="B38" s="48"/>
      <c r="C38" s="48"/>
      <c r="D38" s="48"/>
      <c r="E38" s="48"/>
    </row>
    <row r="39" spans="1:10" x14ac:dyDescent="0.3">
      <c r="A39" s="48"/>
      <c r="B39" s="48"/>
      <c r="C39" s="48"/>
      <c r="D39" s="48"/>
      <c r="E39" s="48"/>
    </row>
    <row r="40" spans="1:10" x14ac:dyDescent="0.3">
      <c r="A40" s="48"/>
      <c r="B40" s="48"/>
      <c r="C40" s="48"/>
      <c r="D40" s="48"/>
      <c r="E40" s="48"/>
    </row>
    <row r="41" spans="1:10" x14ac:dyDescent="0.3">
      <c r="A41" s="48"/>
      <c r="B41" s="48"/>
      <c r="C41" s="48"/>
      <c r="D41" s="48"/>
      <c r="E41" s="48"/>
    </row>
    <row r="42" spans="1:10" x14ac:dyDescent="0.3">
      <c r="A42" s="48"/>
      <c r="B42" s="48"/>
      <c r="C42" s="48"/>
      <c r="D42" s="48"/>
      <c r="E42" s="48"/>
    </row>
    <row r="43" spans="1:10" x14ac:dyDescent="0.3">
      <c r="A43" s="48"/>
      <c r="B43" s="48"/>
      <c r="C43" s="48"/>
      <c r="D43" s="48"/>
      <c r="E43" s="48"/>
    </row>
    <row r="44" spans="1:10" x14ac:dyDescent="0.3">
      <c r="A44" s="48"/>
      <c r="B44" s="48"/>
      <c r="C44" s="48"/>
      <c r="D44" s="48"/>
      <c r="E44" s="48"/>
    </row>
    <row r="45" spans="1:10" x14ac:dyDescent="0.3">
      <c r="A45" s="48"/>
      <c r="B45" s="48"/>
      <c r="C45" s="48"/>
      <c r="D45" s="48"/>
      <c r="E45" s="48"/>
    </row>
    <row r="46" spans="1:10" x14ac:dyDescent="0.3">
      <c r="A46" s="48"/>
      <c r="B46" s="48"/>
      <c r="C46" s="48"/>
      <c r="D46" s="48"/>
      <c r="E46" s="48"/>
    </row>
    <row r="47" spans="1:10" x14ac:dyDescent="0.3">
      <c r="A47" s="48"/>
      <c r="B47" s="48"/>
      <c r="C47" s="48"/>
      <c r="D47" s="48"/>
      <c r="E47" s="48"/>
    </row>
    <row r="48" spans="1:10" x14ac:dyDescent="0.3">
      <c r="A48" s="48"/>
      <c r="B48" s="48"/>
      <c r="C48" s="48"/>
      <c r="D48" s="48"/>
      <c r="E48" s="48"/>
    </row>
    <row r="49" spans="1:5" x14ac:dyDescent="0.3">
      <c r="A49" s="48"/>
      <c r="B49" s="48"/>
      <c r="C49" s="48"/>
      <c r="D49" s="48"/>
      <c r="E49" s="48"/>
    </row>
    <row r="50" spans="1:5" x14ac:dyDescent="0.3">
      <c r="A50" s="48"/>
      <c r="B50" s="48"/>
      <c r="C50" s="48"/>
      <c r="D50" s="48"/>
      <c r="E50" s="48"/>
    </row>
    <row r="51" spans="1:5" x14ac:dyDescent="0.3">
      <c r="A51" s="48"/>
      <c r="B51" s="48"/>
      <c r="C51" s="48"/>
      <c r="D51" s="48"/>
      <c r="E51" s="48"/>
    </row>
    <row r="52" spans="1:5" x14ac:dyDescent="0.3">
      <c r="A52" s="48"/>
      <c r="B52" s="48"/>
      <c r="C52" s="48"/>
      <c r="D52" s="48"/>
      <c r="E52" s="48"/>
    </row>
    <row r="53" spans="1:5" x14ac:dyDescent="0.3">
      <c r="A53" s="48"/>
      <c r="B53" s="48"/>
      <c r="C53" s="48"/>
      <c r="D53" s="48"/>
      <c r="E53" s="48"/>
    </row>
    <row r="54" spans="1:5" x14ac:dyDescent="0.3">
      <c r="A54" s="48"/>
      <c r="B54" s="48"/>
      <c r="C54" s="48"/>
      <c r="D54" s="48"/>
      <c r="E54" s="48"/>
    </row>
    <row r="55" spans="1:5" x14ac:dyDescent="0.3">
      <c r="A55" s="48"/>
      <c r="B55" s="48"/>
      <c r="C55" s="48"/>
      <c r="D55" s="48"/>
      <c r="E55" s="48"/>
    </row>
    <row r="56" spans="1:5" x14ac:dyDescent="0.3">
      <c r="A56" s="48"/>
      <c r="B56" s="48"/>
      <c r="C56" s="48"/>
      <c r="D56" s="48"/>
      <c r="E56" s="48"/>
    </row>
    <row r="57" spans="1:5" x14ac:dyDescent="0.3">
      <c r="A57" s="48"/>
      <c r="B57" s="48"/>
      <c r="C57" s="48"/>
      <c r="D57" s="48"/>
      <c r="E57" s="48"/>
    </row>
    <row r="58" spans="1:5" x14ac:dyDescent="0.3">
      <c r="A58" s="48"/>
      <c r="B58" s="48"/>
      <c r="C58" s="48"/>
      <c r="D58" s="48"/>
      <c r="E58" s="48"/>
    </row>
    <row r="59" spans="1:5" x14ac:dyDescent="0.3">
      <c r="A59" s="48"/>
      <c r="B59" s="48"/>
      <c r="C59" s="48"/>
      <c r="D59" s="48"/>
      <c r="E59" s="48"/>
    </row>
    <row r="60" spans="1:5" x14ac:dyDescent="0.3">
      <c r="A60" s="48"/>
      <c r="B60" s="48"/>
      <c r="C60" s="48"/>
      <c r="D60" s="48"/>
      <c r="E60" s="48"/>
    </row>
    <row r="61" spans="1:5" x14ac:dyDescent="0.3">
      <c r="A61" s="48"/>
      <c r="B61" s="48"/>
      <c r="C61" s="48"/>
      <c r="D61" s="48"/>
      <c r="E61" s="48"/>
    </row>
    <row r="62" spans="1:5" x14ac:dyDescent="0.3">
      <c r="A62" s="48"/>
      <c r="B62" s="48"/>
      <c r="C62" s="48"/>
      <c r="D62" s="48"/>
      <c r="E62" s="48"/>
    </row>
    <row r="63" spans="1:5" x14ac:dyDescent="0.3">
      <c r="A63" s="48"/>
      <c r="B63" s="48"/>
      <c r="C63" s="48"/>
      <c r="D63" s="48"/>
      <c r="E63" s="48"/>
    </row>
    <row r="64" spans="1:5" x14ac:dyDescent="0.3">
      <c r="A64" s="48"/>
      <c r="B64" s="48"/>
      <c r="C64" s="48"/>
      <c r="D64" s="48"/>
      <c r="E64" s="48"/>
    </row>
    <row r="65" spans="1:5" x14ac:dyDescent="0.3">
      <c r="A65" s="48"/>
      <c r="B65" s="48"/>
      <c r="C65" s="48"/>
      <c r="D65" s="48"/>
      <c r="E65" s="48"/>
    </row>
    <row r="66" spans="1:5" x14ac:dyDescent="0.3">
      <c r="A66" s="48"/>
      <c r="B66" s="48"/>
      <c r="C66" s="48"/>
      <c r="D66" s="48"/>
      <c r="E66" s="48"/>
    </row>
    <row r="67" spans="1:5" x14ac:dyDescent="0.3">
      <c r="A67" s="48"/>
      <c r="B67" s="48"/>
      <c r="C67" s="48"/>
      <c r="D67" s="48"/>
      <c r="E67" s="48"/>
    </row>
    <row r="68" spans="1:5" x14ac:dyDescent="0.3">
      <c r="A68" s="48"/>
      <c r="B68" s="48"/>
      <c r="C68" s="48"/>
      <c r="D68" s="48"/>
      <c r="E68" s="48"/>
    </row>
    <row r="69" spans="1:5" x14ac:dyDescent="0.3">
      <c r="A69" s="48"/>
      <c r="B69" s="48"/>
      <c r="C69" s="48"/>
      <c r="D69" s="48"/>
      <c r="E69" s="48"/>
    </row>
    <row r="70" spans="1:5" x14ac:dyDescent="0.3">
      <c r="A70" s="48"/>
      <c r="B70" s="48"/>
      <c r="C70" s="48"/>
      <c r="D70" s="48"/>
      <c r="E70" s="48"/>
    </row>
    <row r="71" spans="1:5" x14ac:dyDescent="0.3">
      <c r="A71" s="48"/>
      <c r="B71" s="48"/>
      <c r="C71" s="48"/>
      <c r="D71" s="48"/>
      <c r="E71" s="48"/>
    </row>
    <row r="72" spans="1:5" x14ac:dyDescent="0.3">
      <c r="A72" s="48"/>
      <c r="B72" s="48"/>
      <c r="C72" s="48"/>
      <c r="D72" s="48"/>
      <c r="E72" s="48"/>
    </row>
    <row r="73" spans="1:5" x14ac:dyDescent="0.3">
      <c r="A73" s="48"/>
      <c r="B73" s="48"/>
      <c r="C73" s="48"/>
      <c r="D73" s="48"/>
      <c r="E73" s="48"/>
    </row>
    <row r="74" spans="1:5" x14ac:dyDescent="0.3">
      <c r="A74" s="48"/>
      <c r="B74" s="48"/>
      <c r="C74" s="48"/>
      <c r="D74" s="48"/>
      <c r="E74" s="48"/>
    </row>
    <row r="75" spans="1:5" x14ac:dyDescent="0.3">
      <c r="A75" s="48"/>
      <c r="B75" s="48"/>
      <c r="C75" s="48"/>
      <c r="D75" s="48"/>
      <c r="E75" s="48"/>
    </row>
    <row r="76" spans="1:5" x14ac:dyDescent="0.3">
      <c r="A76" s="48"/>
      <c r="B76" s="48"/>
      <c r="C76" s="48"/>
      <c r="D76" s="48"/>
      <c r="E76" s="48"/>
    </row>
    <row r="77" spans="1:5" x14ac:dyDescent="0.3">
      <c r="A77" s="48"/>
      <c r="B77" s="48"/>
      <c r="C77" s="48"/>
      <c r="D77" s="48"/>
      <c r="E77" s="48"/>
    </row>
    <row r="78" spans="1:5" x14ac:dyDescent="0.3">
      <c r="A78" s="48"/>
      <c r="B78" s="48"/>
      <c r="C78" s="48"/>
      <c r="D78" s="48"/>
      <c r="E78" s="48"/>
    </row>
    <row r="79" spans="1:5" x14ac:dyDescent="0.3">
      <c r="A79" s="48"/>
      <c r="B79" s="48"/>
      <c r="C79" s="48"/>
      <c r="D79" s="48"/>
      <c r="E79" s="48"/>
    </row>
    <row r="80" spans="1:5" x14ac:dyDescent="0.3">
      <c r="A80" s="48"/>
      <c r="B80" s="48"/>
      <c r="C80" s="48"/>
      <c r="D80" s="48"/>
      <c r="E80" s="48"/>
    </row>
    <row r="81" spans="1:5" x14ac:dyDescent="0.3">
      <c r="A81" s="48"/>
      <c r="B81" s="48"/>
      <c r="C81" s="48"/>
      <c r="D81" s="48"/>
      <c r="E81" s="48"/>
    </row>
    <row r="82" spans="1:5" x14ac:dyDescent="0.3">
      <c r="A82" s="48"/>
      <c r="B82" s="48"/>
      <c r="C82" s="48"/>
      <c r="D82" s="48"/>
      <c r="E82" s="48"/>
    </row>
    <row r="83" spans="1:5" x14ac:dyDescent="0.3">
      <c r="A83" s="48"/>
      <c r="B83" s="48"/>
      <c r="C83" s="48"/>
      <c r="D83" s="48"/>
      <c r="E83" s="48"/>
    </row>
    <row r="84" spans="1:5" x14ac:dyDescent="0.3">
      <c r="A84" s="48"/>
      <c r="B84" s="48"/>
      <c r="C84" s="48"/>
      <c r="D84" s="48"/>
      <c r="E84" s="48"/>
    </row>
    <row r="85" spans="1:5" x14ac:dyDescent="0.3">
      <c r="A85" s="48"/>
      <c r="B85" s="48"/>
      <c r="C85" s="48"/>
      <c r="D85" s="48"/>
      <c r="E85" s="48"/>
    </row>
    <row r="86" spans="1:5" x14ac:dyDescent="0.3">
      <c r="A86" s="48"/>
      <c r="B86" s="48"/>
      <c r="C86" s="48"/>
      <c r="D86" s="48"/>
      <c r="E86" s="48"/>
    </row>
    <row r="87" spans="1:5" x14ac:dyDescent="0.3">
      <c r="A87" s="48"/>
      <c r="B87" s="48"/>
      <c r="C87" s="48"/>
      <c r="D87" s="48"/>
      <c r="E87" s="48"/>
    </row>
    <row r="88" spans="1:5" x14ac:dyDescent="0.3">
      <c r="A88" s="48"/>
      <c r="B88" s="48"/>
      <c r="C88" s="48"/>
      <c r="D88" s="48"/>
      <c r="E88" s="48"/>
    </row>
    <row r="89" spans="1:5" x14ac:dyDescent="0.3">
      <c r="A89" s="48"/>
      <c r="B89" s="48"/>
      <c r="C89" s="48"/>
      <c r="D89" s="48"/>
      <c r="E89" s="48"/>
    </row>
    <row r="90" spans="1:5" x14ac:dyDescent="0.3">
      <c r="A90" s="48"/>
      <c r="B90" s="48"/>
      <c r="C90" s="48"/>
      <c r="D90" s="48"/>
      <c r="E90" s="48"/>
    </row>
    <row r="91" spans="1:5" x14ac:dyDescent="0.3">
      <c r="A91" s="48"/>
      <c r="B91" s="48"/>
      <c r="C91" s="48"/>
      <c r="D91" s="48"/>
      <c r="E91" s="48"/>
    </row>
    <row r="92" spans="1:5" x14ac:dyDescent="0.3">
      <c r="A92" s="48"/>
      <c r="B92" s="48"/>
      <c r="C92" s="48"/>
      <c r="D92" s="48"/>
      <c r="E92" s="48"/>
    </row>
    <row r="93" spans="1:5" x14ac:dyDescent="0.3">
      <c r="A93" s="48"/>
      <c r="B93" s="48"/>
      <c r="C93" s="48"/>
      <c r="D93" s="48"/>
      <c r="E93" s="48"/>
    </row>
    <row r="94" spans="1:5" x14ac:dyDescent="0.3">
      <c r="A94" s="48"/>
      <c r="B94" s="48"/>
      <c r="C94" s="48"/>
      <c r="D94" s="48"/>
      <c r="E94" s="48"/>
    </row>
    <row r="95" spans="1:5" x14ac:dyDescent="0.3">
      <c r="A95" s="48"/>
      <c r="B95" s="48"/>
      <c r="C95" s="48"/>
      <c r="D95" s="48"/>
      <c r="E95" s="48"/>
    </row>
    <row r="96" spans="1:5" x14ac:dyDescent="0.3">
      <c r="A96" s="48"/>
      <c r="B96" s="48"/>
      <c r="C96" s="48"/>
      <c r="D96" s="48"/>
      <c r="E96" s="48"/>
    </row>
    <row r="97" spans="1:5" x14ac:dyDescent="0.3">
      <c r="A97" s="48"/>
      <c r="B97" s="48"/>
      <c r="C97" s="48"/>
      <c r="D97" s="48"/>
      <c r="E97" s="48"/>
    </row>
    <row r="98" spans="1:5" x14ac:dyDescent="0.3">
      <c r="A98" s="48"/>
      <c r="B98" s="48"/>
      <c r="C98" s="48"/>
      <c r="D98" s="48"/>
      <c r="E98" s="48"/>
    </row>
    <row r="99" spans="1:5" x14ac:dyDescent="0.3">
      <c r="A99" s="48"/>
      <c r="B99" s="48"/>
      <c r="C99" s="48"/>
      <c r="D99" s="48"/>
      <c r="E99" s="48"/>
    </row>
    <row r="100" spans="1:5" x14ac:dyDescent="0.3">
      <c r="A100" s="48"/>
      <c r="B100" s="48"/>
      <c r="C100" s="48"/>
      <c r="D100" s="48"/>
      <c r="E100" s="48"/>
    </row>
    <row r="101" spans="1:5" x14ac:dyDescent="0.3">
      <c r="A101" s="48"/>
      <c r="B101" s="48"/>
      <c r="C101" s="48"/>
      <c r="D101" s="48"/>
      <c r="E101" s="48"/>
    </row>
    <row r="102" spans="1:5" x14ac:dyDescent="0.3">
      <c r="A102" s="48"/>
      <c r="B102" s="48"/>
      <c r="C102" s="48"/>
      <c r="D102" s="48"/>
      <c r="E102" s="48"/>
    </row>
    <row r="103" spans="1:5" x14ac:dyDescent="0.3">
      <c r="A103" s="48"/>
      <c r="B103" s="48"/>
      <c r="C103" s="48"/>
      <c r="D103" s="48"/>
      <c r="E103" s="48"/>
    </row>
    <row r="104" spans="1:5" x14ac:dyDescent="0.3">
      <c r="A104" s="48"/>
      <c r="B104" s="48"/>
      <c r="C104" s="48"/>
      <c r="D104" s="48"/>
      <c r="E104" s="48"/>
    </row>
    <row r="105" spans="1:5" x14ac:dyDescent="0.3">
      <c r="A105" s="48"/>
      <c r="B105" s="48"/>
      <c r="C105" s="48"/>
      <c r="D105" s="48"/>
      <c r="E105" s="48"/>
    </row>
    <row r="106" spans="1:5" x14ac:dyDescent="0.3">
      <c r="A106" s="48"/>
      <c r="B106" s="48"/>
      <c r="C106" s="48"/>
      <c r="D106" s="48"/>
      <c r="E106" s="48"/>
    </row>
    <row r="107" spans="1:5" x14ac:dyDescent="0.3">
      <c r="A107" s="48"/>
      <c r="B107" s="48"/>
      <c r="C107" s="48"/>
      <c r="D107" s="48"/>
      <c r="E107" s="48"/>
    </row>
    <row r="108" spans="1:5" x14ac:dyDescent="0.3">
      <c r="A108" s="48"/>
      <c r="B108" s="48"/>
      <c r="C108" s="48"/>
      <c r="D108" s="48"/>
      <c r="E108" s="48"/>
    </row>
    <row r="109" spans="1:5" x14ac:dyDescent="0.3">
      <c r="A109" s="48"/>
      <c r="B109" s="48"/>
      <c r="C109" s="48"/>
      <c r="D109" s="48"/>
      <c r="E109" s="48"/>
    </row>
    <row r="110" spans="1:5" x14ac:dyDescent="0.3">
      <c r="A110" s="48"/>
      <c r="B110" s="48"/>
      <c r="C110" s="48"/>
      <c r="D110" s="48"/>
      <c r="E110" s="48"/>
    </row>
    <row r="111" spans="1:5" x14ac:dyDescent="0.3">
      <c r="A111" s="48"/>
      <c r="B111" s="48"/>
      <c r="C111" s="48"/>
      <c r="D111" s="48"/>
      <c r="E111" s="48"/>
    </row>
    <row r="112" spans="1:5" x14ac:dyDescent="0.3">
      <c r="A112" s="48"/>
      <c r="B112" s="48"/>
      <c r="C112" s="48"/>
      <c r="D112" s="48"/>
      <c r="E112" s="48"/>
    </row>
    <row r="113" spans="1:5" x14ac:dyDescent="0.3">
      <c r="A113" s="48"/>
      <c r="B113" s="48"/>
      <c r="C113" s="48"/>
      <c r="D113" s="48"/>
      <c r="E113" s="48"/>
    </row>
    <row r="114" spans="1:5" x14ac:dyDescent="0.3">
      <c r="A114" s="48"/>
      <c r="B114" s="48"/>
      <c r="C114" s="48"/>
      <c r="D114" s="48"/>
      <c r="E114" s="48"/>
    </row>
    <row r="115" spans="1:5" x14ac:dyDescent="0.3">
      <c r="A115" s="48"/>
      <c r="B115" s="48"/>
      <c r="C115" s="48"/>
      <c r="D115" s="48"/>
      <c r="E115" s="48"/>
    </row>
    <row r="116" spans="1:5" x14ac:dyDescent="0.3">
      <c r="A116" s="48"/>
      <c r="B116" s="48"/>
      <c r="C116" s="48"/>
      <c r="D116" s="48"/>
      <c r="E116" s="48"/>
    </row>
    <row r="117" spans="1:5" x14ac:dyDescent="0.3">
      <c r="A117" s="48"/>
      <c r="B117" s="48"/>
      <c r="C117" s="48"/>
      <c r="D117" s="48"/>
      <c r="E117" s="48"/>
    </row>
    <row r="118" spans="1:5" x14ac:dyDescent="0.3">
      <c r="A118" s="48"/>
      <c r="B118" s="48"/>
      <c r="C118" s="48"/>
      <c r="D118" s="48"/>
      <c r="E118" s="48"/>
    </row>
    <row r="119" spans="1:5" x14ac:dyDescent="0.3">
      <c r="A119" s="48"/>
      <c r="B119" s="48"/>
      <c r="C119" s="48"/>
      <c r="D119" s="48"/>
      <c r="E119" s="48"/>
    </row>
    <row r="120" spans="1:5" x14ac:dyDescent="0.3">
      <c r="A120" s="48"/>
      <c r="B120" s="48"/>
      <c r="C120" s="48"/>
      <c r="D120" s="48"/>
      <c r="E120" s="48"/>
    </row>
    <row r="121" spans="1:5" x14ac:dyDescent="0.3">
      <c r="A121" s="48"/>
      <c r="B121" s="48"/>
      <c r="C121" s="48"/>
      <c r="D121" s="48"/>
      <c r="E121" s="48"/>
    </row>
    <row r="122" spans="1:5" x14ac:dyDescent="0.3">
      <c r="A122" s="48"/>
      <c r="B122" s="48"/>
      <c r="C122" s="48"/>
      <c r="D122" s="48"/>
      <c r="E122" s="48"/>
    </row>
    <row r="123" spans="1:5" x14ac:dyDescent="0.3">
      <c r="A123" s="48"/>
      <c r="B123" s="48"/>
      <c r="C123" s="48"/>
      <c r="D123" s="48"/>
      <c r="E123" s="48"/>
    </row>
    <row r="124" spans="1:5" x14ac:dyDescent="0.3">
      <c r="A124" s="48"/>
      <c r="B124" s="48"/>
      <c r="C124" s="48"/>
      <c r="D124" s="48"/>
      <c r="E124" s="48"/>
    </row>
    <row r="125" spans="1:5" x14ac:dyDescent="0.3">
      <c r="A125" s="48"/>
      <c r="B125" s="48"/>
      <c r="C125" s="48"/>
      <c r="D125" s="48"/>
      <c r="E125" s="48"/>
    </row>
    <row r="126" spans="1:5" x14ac:dyDescent="0.3">
      <c r="A126" s="48"/>
      <c r="B126" s="48"/>
      <c r="C126" s="48"/>
      <c r="D126" s="48"/>
      <c r="E126" s="48"/>
    </row>
    <row r="127" spans="1:5" x14ac:dyDescent="0.3">
      <c r="A127" s="48"/>
      <c r="B127" s="48"/>
      <c r="C127" s="48"/>
      <c r="D127" s="48"/>
      <c r="E127" s="48"/>
    </row>
    <row r="128" spans="1:5" x14ac:dyDescent="0.3">
      <c r="A128" s="48"/>
      <c r="B128" s="48"/>
      <c r="C128" s="48"/>
      <c r="D128" s="48"/>
      <c r="E128" s="48"/>
    </row>
    <row r="129" spans="1:5" x14ac:dyDescent="0.3">
      <c r="A129" s="48"/>
      <c r="B129" s="48"/>
      <c r="C129" s="48"/>
      <c r="D129" s="48"/>
      <c r="E129" s="48"/>
    </row>
    <row r="130" spans="1:5" x14ac:dyDescent="0.3">
      <c r="A130" s="48"/>
      <c r="B130" s="48"/>
      <c r="C130" s="48"/>
      <c r="D130" s="48"/>
      <c r="E130" s="48"/>
    </row>
    <row r="131" spans="1:5" x14ac:dyDescent="0.3">
      <c r="A131" s="48"/>
      <c r="B131" s="48"/>
      <c r="C131" s="48"/>
      <c r="D131" s="48"/>
      <c r="E131" s="48"/>
    </row>
    <row r="132" spans="1:5" x14ac:dyDescent="0.3">
      <c r="A132" s="48"/>
      <c r="B132" s="48"/>
      <c r="C132" s="48"/>
      <c r="D132" s="48"/>
      <c r="E132" s="48"/>
    </row>
    <row r="133" spans="1:5" x14ac:dyDescent="0.3">
      <c r="A133" s="48"/>
      <c r="B133" s="48"/>
      <c r="C133" s="48"/>
      <c r="D133" s="48"/>
      <c r="E133" s="48"/>
    </row>
    <row r="134" spans="1:5" x14ac:dyDescent="0.3">
      <c r="A134" s="48"/>
      <c r="B134" s="48"/>
      <c r="C134" s="48"/>
      <c r="D134" s="48"/>
      <c r="E134" s="48"/>
    </row>
    <row r="135" spans="1:5" x14ac:dyDescent="0.3">
      <c r="A135" s="48"/>
      <c r="B135" s="48"/>
      <c r="C135" s="48"/>
      <c r="D135" s="48"/>
      <c r="E135" s="48"/>
    </row>
    <row r="136" spans="1:5" x14ac:dyDescent="0.3">
      <c r="A136" s="48"/>
      <c r="B136" s="48"/>
      <c r="C136" s="48"/>
      <c r="D136" s="48"/>
      <c r="E136" s="48"/>
    </row>
    <row r="137" spans="1:5" x14ac:dyDescent="0.3">
      <c r="A137" s="48"/>
      <c r="B137" s="48"/>
      <c r="C137" s="48"/>
      <c r="D137" s="48"/>
      <c r="E137" s="48"/>
    </row>
    <row r="138" spans="1:5" x14ac:dyDescent="0.3">
      <c r="A138" s="48"/>
      <c r="B138" s="48"/>
      <c r="C138" s="48"/>
      <c r="D138" s="48"/>
      <c r="E138" s="48"/>
    </row>
    <row r="139" spans="1:5" x14ac:dyDescent="0.3">
      <c r="A139" s="48"/>
      <c r="B139" s="48"/>
      <c r="C139" s="48"/>
      <c r="D139" s="48"/>
      <c r="E139" s="48"/>
    </row>
    <row r="140" spans="1:5" x14ac:dyDescent="0.3">
      <c r="A140" s="48"/>
      <c r="B140" s="48"/>
      <c r="C140" s="48"/>
      <c r="D140" s="48"/>
      <c r="E140" s="48"/>
    </row>
    <row r="141" spans="1:5" x14ac:dyDescent="0.3">
      <c r="A141" s="48"/>
      <c r="B141" s="48"/>
      <c r="C141" s="48"/>
      <c r="D141" s="48"/>
      <c r="E141" s="48"/>
    </row>
    <row r="142" spans="1:5" x14ac:dyDescent="0.3">
      <c r="A142" s="48"/>
      <c r="B142" s="48"/>
      <c r="C142" s="48"/>
      <c r="D142" s="48"/>
      <c r="E142" s="48"/>
    </row>
    <row r="143" spans="1:5" x14ac:dyDescent="0.3">
      <c r="A143" s="48"/>
      <c r="B143" s="48"/>
      <c r="C143" s="48"/>
      <c r="D143" s="48"/>
      <c r="E143" s="48"/>
    </row>
    <row r="144" spans="1:5" x14ac:dyDescent="0.3">
      <c r="A144" s="48"/>
      <c r="B144" s="48"/>
      <c r="C144" s="48"/>
      <c r="D144" s="48"/>
      <c r="E144" s="48"/>
    </row>
    <row r="145" spans="1:5" x14ac:dyDescent="0.3">
      <c r="A145" s="48"/>
      <c r="B145" s="48"/>
      <c r="C145" s="48"/>
      <c r="D145" s="48"/>
      <c r="E145" s="48"/>
    </row>
    <row r="146" spans="1:5" x14ac:dyDescent="0.3">
      <c r="A146" s="48"/>
      <c r="B146" s="48"/>
      <c r="C146" s="48"/>
      <c r="D146" s="48"/>
      <c r="E146" s="48"/>
    </row>
    <row r="147" spans="1:5" x14ac:dyDescent="0.3">
      <c r="A147" s="48"/>
      <c r="B147" s="48"/>
      <c r="C147" s="48"/>
      <c r="D147" s="48"/>
      <c r="E147" s="48"/>
    </row>
    <row r="148" spans="1:5" x14ac:dyDescent="0.3">
      <c r="A148" s="48"/>
      <c r="B148" s="48"/>
      <c r="C148" s="48"/>
      <c r="D148" s="48"/>
      <c r="E148" s="48"/>
    </row>
    <row r="149" spans="1:5" x14ac:dyDescent="0.3">
      <c r="A149" s="48"/>
      <c r="B149" s="48"/>
      <c r="C149" s="48"/>
      <c r="D149" s="48"/>
      <c r="E149" s="48"/>
    </row>
    <row r="150" spans="1:5" x14ac:dyDescent="0.3">
      <c r="A150" s="48"/>
      <c r="B150" s="48"/>
      <c r="C150" s="48"/>
      <c r="D150" s="48"/>
      <c r="E150" s="48"/>
    </row>
    <row r="151" spans="1:5" x14ac:dyDescent="0.3">
      <c r="A151" s="48"/>
      <c r="B151" s="48"/>
      <c r="C151" s="48"/>
      <c r="D151" s="48"/>
      <c r="E151" s="48"/>
    </row>
    <row r="152" spans="1:5" x14ac:dyDescent="0.3">
      <c r="A152" s="48"/>
      <c r="B152" s="48"/>
      <c r="C152" s="48"/>
      <c r="D152" s="48"/>
      <c r="E152" s="48"/>
    </row>
    <row r="153" spans="1:5" x14ac:dyDescent="0.3">
      <c r="A153" s="48"/>
      <c r="B153" s="48"/>
      <c r="C153" s="48"/>
      <c r="D153" s="48"/>
      <c r="E153" s="48"/>
    </row>
    <row r="154" spans="1:5" x14ac:dyDescent="0.3">
      <c r="A154" s="48"/>
      <c r="B154" s="48"/>
      <c r="C154" s="48"/>
      <c r="D154" s="48"/>
      <c r="E154" s="48"/>
    </row>
    <row r="155" spans="1:5" x14ac:dyDescent="0.3">
      <c r="A155" s="48"/>
      <c r="B155" s="48"/>
      <c r="C155" s="48"/>
      <c r="D155" s="48"/>
      <c r="E155" s="48"/>
    </row>
    <row r="156" spans="1:5" x14ac:dyDescent="0.3">
      <c r="A156" s="48"/>
      <c r="B156" s="48"/>
      <c r="C156" s="48"/>
      <c r="D156" s="48"/>
      <c r="E156" s="48"/>
    </row>
    <row r="157" spans="1:5" x14ac:dyDescent="0.3">
      <c r="A157" s="48"/>
      <c r="B157" s="48"/>
      <c r="C157" s="48"/>
      <c r="D157" s="48"/>
      <c r="E157" s="48"/>
    </row>
    <row r="158" spans="1:5" x14ac:dyDescent="0.3">
      <c r="A158" s="48"/>
      <c r="B158" s="48"/>
      <c r="C158" s="48"/>
      <c r="D158" s="48"/>
      <c r="E158" s="48"/>
    </row>
    <row r="159" spans="1:5" x14ac:dyDescent="0.3">
      <c r="A159" s="48"/>
      <c r="B159" s="48"/>
      <c r="C159" s="48"/>
      <c r="D159" s="48"/>
      <c r="E159" s="48"/>
    </row>
    <row r="160" spans="1:5" x14ac:dyDescent="0.3">
      <c r="A160" s="48"/>
      <c r="B160" s="48"/>
      <c r="C160" s="48"/>
      <c r="D160" s="48"/>
      <c r="E160" s="48"/>
    </row>
    <row r="161" spans="1:5" x14ac:dyDescent="0.3">
      <c r="A161" s="48"/>
      <c r="B161" s="48"/>
      <c r="C161" s="48"/>
      <c r="D161" s="48"/>
      <c r="E161" s="48"/>
    </row>
    <row r="162" spans="1:5" x14ac:dyDescent="0.3">
      <c r="A162" s="48"/>
      <c r="B162" s="48"/>
      <c r="C162" s="48"/>
      <c r="D162" s="48"/>
      <c r="E162" s="48"/>
    </row>
    <row r="163" spans="1:5" x14ac:dyDescent="0.3">
      <c r="A163" s="48"/>
      <c r="B163" s="48"/>
      <c r="C163" s="48"/>
      <c r="D163" s="48"/>
      <c r="E163" s="48"/>
    </row>
    <row r="164" spans="1:5" x14ac:dyDescent="0.3">
      <c r="A164" s="48"/>
      <c r="B164" s="48"/>
      <c r="C164" s="48"/>
      <c r="D164" s="48"/>
      <c r="E164" s="48"/>
    </row>
    <row r="165" spans="1:5" x14ac:dyDescent="0.3">
      <c r="A165" s="48"/>
      <c r="B165" s="48"/>
      <c r="C165" s="48"/>
      <c r="D165" s="48"/>
      <c r="E165" s="48"/>
    </row>
    <row r="166" spans="1:5" x14ac:dyDescent="0.3">
      <c r="A166" s="48"/>
      <c r="B166" s="48"/>
      <c r="C166" s="48"/>
      <c r="D166" s="48"/>
      <c r="E166" s="48"/>
    </row>
    <row r="167" spans="1:5" x14ac:dyDescent="0.3">
      <c r="A167" s="48"/>
      <c r="B167" s="48"/>
      <c r="C167" s="48"/>
      <c r="D167" s="48"/>
      <c r="E167" s="48"/>
    </row>
    <row r="168" spans="1:5" x14ac:dyDescent="0.3">
      <c r="A168" s="48"/>
      <c r="B168" s="48"/>
      <c r="C168" s="48"/>
      <c r="D168" s="48"/>
      <c r="E168" s="48"/>
    </row>
    <row r="169" spans="1:5" x14ac:dyDescent="0.3">
      <c r="A169" s="48"/>
      <c r="B169" s="48"/>
      <c r="C169" s="48"/>
      <c r="D169" s="48"/>
      <c r="E169" s="48"/>
    </row>
    <row r="170" spans="1:5" x14ac:dyDescent="0.3">
      <c r="A170" s="48"/>
      <c r="B170" s="48"/>
      <c r="C170" s="48"/>
      <c r="D170" s="48"/>
      <c r="E170" s="48"/>
    </row>
    <row r="171" spans="1:5" x14ac:dyDescent="0.3">
      <c r="A171" s="48"/>
      <c r="B171" s="48"/>
      <c r="C171" s="48"/>
      <c r="D171" s="48"/>
      <c r="E171" s="48"/>
    </row>
    <row r="172" spans="1:5" x14ac:dyDescent="0.3">
      <c r="A172" s="48"/>
      <c r="B172" s="48"/>
      <c r="C172" s="48"/>
      <c r="D172" s="48"/>
      <c r="E172" s="48"/>
    </row>
    <row r="173" spans="1:5" x14ac:dyDescent="0.3">
      <c r="A173" s="48"/>
      <c r="B173" s="48"/>
      <c r="C173" s="48"/>
      <c r="D173" s="48"/>
      <c r="E173" s="48"/>
    </row>
    <row r="174" spans="1:5" x14ac:dyDescent="0.3">
      <c r="A174" s="48"/>
      <c r="B174" s="48"/>
      <c r="C174" s="48"/>
      <c r="D174" s="48"/>
      <c r="E174" s="48"/>
    </row>
    <row r="175" spans="1:5" x14ac:dyDescent="0.3">
      <c r="A175" s="48"/>
      <c r="B175" s="48"/>
      <c r="C175" s="48"/>
      <c r="D175" s="48"/>
      <c r="E175" s="48"/>
    </row>
    <row r="176" spans="1:5" x14ac:dyDescent="0.3">
      <c r="A176" s="48"/>
      <c r="B176" s="48"/>
      <c r="C176" s="48"/>
      <c r="D176" s="48"/>
      <c r="E176" s="48"/>
    </row>
    <row r="177" spans="1:5" x14ac:dyDescent="0.3">
      <c r="A177" s="48"/>
      <c r="B177" s="48"/>
      <c r="C177" s="48"/>
      <c r="D177" s="48"/>
      <c r="E177" s="48"/>
    </row>
    <row r="178" spans="1:5" x14ac:dyDescent="0.3">
      <c r="A178" s="48"/>
      <c r="B178" s="48"/>
      <c r="C178" s="48"/>
      <c r="D178" s="48"/>
      <c r="E178" s="48"/>
    </row>
    <row r="179" spans="1:5" x14ac:dyDescent="0.3">
      <c r="A179" s="48"/>
      <c r="B179" s="48"/>
      <c r="C179" s="48"/>
      <c r="D179" s="48"/>
      <c r="E179" s="48"/>
    </row>
    <row r="180" spans="1:5" x14ac:dyDescent="0.3">
      <c r="A180" s="48"/>
      <c r="B180" s="48"/>
      <c r="C180" s="48"/>
      <c r="D180" s="48"/>
      <c r="E180" s="48"/>
    </row>
    <row r="181" spans="1:5" x14ac:dyDescent="0.3">
      <c r="A181" s="48"/>
      <c r="B181" s="48"/>
      <c r="C181" s="48"/>
      <c r="D181" s="48"/>
      <c r="E181" s="48"/>
    </row>
    <row r="182" spans="1:5" x14ac:dyDescent="0.3">
      <c r="A182" s="48"/>
      <c r="B182" s="48"/>
      <c r="C182" s="48"/>
      <c r="D182" s="48"/>
      <c r="E182" s="48"/>
    </row>
    <row r="183" spans="1:5" x14ac:dyDescent="0.3">
      <c r="A183" s="48"/>
      <c r="B183" s="48"/>
      <c r="C183" s="48"/>
      <c r="D183" s="48"/>
      <c r="E183" s="48"/>
    </row>
    <row r="184" spans="1:5" x14ac:dyDescent="0.3">
      <c r="A184" s="48"/>
      <c r="B184" s="48"/>
      <c r="C184" s="48"/>
      <c r="D184" s="48"/>
      <c r="E184" s="48"/>
    </row>
    <row r="185" spans="1:5" x14ac:dyDescent="0.3">
      <c r="A185" s="48"/>
      <c r="B185" s="48"/>
      <c r="C185" s="48"/>
      <c r="D185" s="48"/>
      <c r="E185" s="48"/>
    </row>
    <row r="186" spans="1:5" x14ac:dyDescent="0.3">
      <c r="A186" s="48"/>
      <c r="B186" s="48"/>
      <c r="C186" s="48"/>
      <c r="D186" s="48"/>
      <c r="E186" s="48"/>
    </row>
    <row r="187" spans="1:5" x14ac:dyDescent="0.3">
      <c r="A187" s="48"/>
      <c r="B187" s="48"/>
      <c r="C187" s="48"/>
      <c r="D187" s="48"/>
      <c r="E187" s="48"/>
    </row>
    <row r="188" spans="1:5" x14ac:dyDescent="0.3">
      <c r="A188" s="48"/>
      <c r="B188" s="48"/>
      <c r="C188" s="48"/>
      <c r="D188" s="48"/>
      <c r="E188" s="48"/>
    </row>
    <row r="189" spans="1:5" x14ac:dyDescent="0.3">
      <c r="A189" s="48"/>
      <c r="B189" s="48"/>
      <c r="C189" s="48"/>
      <c r="D189" s="48"/>
      <c r="E189" s="48"/>
    </row>
    <row r="190" spans="1:5" x14ac:dyDescent="0.3">
      <c r="A190" s="48"/>
      <c r="B190" s="48"/>
      <c r="C190" s="48"/>
      <c r="D190" s="48"/>
      <c r="E190" s="48"/>
    </row>
    <row r="191" spans="1:5" x14ac:dyDescent="0.3">
      <c r="A191" s="48"/>
      <c r="B191" s="48"/>
      <c r="C191" s="48"/>
      <c r="D191" s="48"/>
      <c r="E191" s="48"/>
    </row>
    <row r="192" spans="1:5" x14ac:dyDescent="0.3">
      <c r="A192" s="48"/>
      <c r="B192" s="48"/>
      <c r="C192" s="48"/>
      <c r="D192" s="48"/>
      <c r="E192" s="48"/>
    </row>
    <row r="193" spans="1:5" x14ac:dyDescent="0.3">
      <c r="A193" s="48"/>
      <c r="B193" s="48"/>
      <c r="C193" s="48"/>
      <c r="D193" s="48"/>
      <c r="E193" s="48"/>
    </row>
    <row r="194" spans="1:5" x14ac:dyDescent="0.3">
      <c r="A194" s="48"/>
      <c r="B194" s="48"/>
      <c r="C194" s="48"/>
      <c r="D194" s="48"/>
      <c r="E194" s="48"/>
    </row>
    <row r="195" spans="1:5" x14ac:dyDescent="0.3">
      <c r="A195" s="48"/>
      <c r="B195" s="48"/>
      <c r="C195" s="48"/>
      <c r="D195" s="48"/>
      <c r="E195" s="48"/>
    </row>
    <row r="196" spans="1:5" x14ac:dyDescent="0.3">
      <c r="A196" s="48"/>
      <c r="B196" s="48"/>
      <c r="C196" s="48"/>
      <c r="D196" s="48"/>
      <c r="E196" s="48"/>
    </row>
    <row r="197" spans="1:5" x14ac:dyDescent="0.3">
      <c r="A197" s="48"/>
      <c r="B197" s="48"/>
      <c r="C197" s="48"/>
      <c r="D197" s="48"/>
      <c r="E197" s="48"/>
    </row>
    <row r="198" spans="1:5" x14ac:dyDescent="0.3">
      <c r="A198" s="48"/>
      <c r="B198" s="48"/>
      <c r="C198" s="48"/>
      <c r="D198" s="48"/>
      <c r="E198" s="48"/>
    </row>
    <row r="199" spans="1:5" x14ac:dyDescent="0.3">
      <c r="A199" s="48"/>
      <c r="B199" s="48"/>
      <c r="C199" s="48"/>
      <c r="D199" s="48"/>
      <c r="E199" s="48"/>
    </row>
    <row r="200" spans="1:5" x14ac:dyDescent="0.3">
      <c r="A200" s="48"/>
      <c r="B200" s="48"/>
      <c r="C200" s="48"/>
      <c r="D200" s="48"/>
      <c r="E200" s="48"/>
    </row>
    <row r="201" spans="1:5" x14ac:dyDescent="0.3">
      <c r="A201" s="48"/>
      <c r="B201" s="48"/>
      <c r="C201" s="48"/>
      <c r="D201" s="48"/>
      <c r="E201" s="48"/>
    </row>
    <row r="202" spans="1:5" x14ac:dyDescent="0.3">
      <c r="A202" s="48"/>
      <c r="B202" s="48"/>
      <c r="C202" s="48"/>
      <c r="D202" s="48"/>
      <c r="E202" s="48"/>
    </row>
    <row r="203" spans="1:5" x14ac:dyDescent="0.3">
      <c r="A203" s="48"/>
      <c r="B203" s="48"/>
      <c r="C203" s="48"/>
      <c r="D203" s="48"/>
      <c r="E203" s="48"/>
    </row>
    <row r="204" spans="1:5" x14ac:dyDescent="0.3">
      <c r="A204" s="48"/>
      <c r="B204" s="48"/>
      <c r="C204" s="48"/>
      <c r="D204" s="48"/>
      <c r="E204" s="48"/>
    </row>
    <row r="205" spans="1:5" x14ac:dyDescent="0.3">
      <c r="A205" s="48"/>
      <c r="B205" s="48"/>
      <c r="C205" s="48"/>
      <c r="D205" s="48"/>
      <c r="E205" s="48"/>
    </row>
    <row r="206" spans="1:5" x14ac:dyDescent="0.3">
      <c r="A206" s="48"/>
      <c r="B206" s="48"/>
      <c r="C206" s="48"/>
      <c r="D206" s="48"/>
      <c r="E206" s="48"/>
    </row>
    <row r="207" spans="1:5" x14ac:dyDescent="0.3">
      <c r="A207" s="48"/>
      <c r="B207" s="48"/>
      <c r="C207" s="48"/>
      <c r="D207" s="48"/>
      <c r="E207" s="48"/>
    </row>
    <row r="208" spans="1:5" x14ac:dyDescent="0.3">
      <c r="A208" s="48"/>
      <c r="B208" s="48"/>
      <c r="C208" s="48"/>
      <c r="D208" s="48"/>
      <c r="E208" s="48"/>
    </row>
    <row r="209" spans="1:5" x14ac:dyDescent="0.3">
      <c r="A209" s="48"/>
      <c r="B209" s="48"/>
      <c r="C209" s="48"/>
      <c r="D209" s="48"/>
      <c r="E209" s="48"/>
    </row>
    <row r="210" spans="1:5" x14ac:dyDescent="0.3">
      <c r="A210" s="48"/>
      <c r="B210" s="48"/>
      <c r="C210" s="48"/>
      <c r="D210" s="48"/>
      <c r="E210" s="48"/>
    </row>
    <row r="211" spans="1:5" x14ac:dyDescent="0.3">
      <c r="A211" s="48"/>
      <c r="B211" s="48"/>
      <c r="C211" s="48"/>
      <c r="D211" s="48"/>
      <c r="E211" s="48"/>
    </row>
    <row r="212" spans="1:5" x14ac:dyDescent="0.3">
      <c r="A212" s="48"/>
      <c r="B212" s="48"/>
      <c r="C212" s="48"/>
      <c r="D212" s="48"/>
      <c r="E212" s="48"/>
    </row>
    <row r="213" spans="1:5" x14ac:dyDescent="0.3">
      <c r="A213" s="48"/>
      <c r="B213" s="48"/>
      <c r="C213" s="48"/>
      <c r="D213" s="48"/>
      <c r="E213" s="48"/>
    </row>
    <row r="214" spans="1:5" x14ac:dyDescent="0.3">
      <c r="A214" s="48"/>
      <c r="B214" s="48"/>
      <c r="C214" s="48"/>
      <c r="D214" s="48"/>
      <c r="E214" s="48"/>
    </row>
    <row r="215" spans="1:5" x14ac:dyDescent="0.3">
      <c r="A215" s="48"/>
      <c r="B215" s="48"/>
      <c r="C215" s="48"/>
      <c r="D215" s="48"/>
      <c r="E215" s="48"/>
    </row>
    <row r="216" spans="1:5" x14ac:dyDescent="0.3">
      <c r="A216" s="48"/>
      <c r="B216" s="48"/>
      <c r="C216" s="48"/>
      <c r="D216" s="48"/>
      <c r="E216" s="48"/>
    </row>
    <row r="217" spans="1:5" x14ac:dyDescent="0.3">
      <c r="A217" s="48"/>
      <c r="B217" s="48"/>
      <c r="C217" s="48"/>
      <c r="D217" s="48"/>
      <c r="E217" s="48"/>
    </row>
    <row r="218" spans="1:5" x14ac:dyDescent="0.3">
      <c r="A218" s="48"/>
      <c r="B218" s="48"/>
      <c r="C218" s="48"/>
      <c r="D218" s="48"/>
      <c r="E218" s="48"/>
    </row>
  </sheetData>
  <mergeCells count="1">
    <mergeCell ref="I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keerthananethikoppula2004@outlook.com</dc:creator>
  <cp:lastModifiedBy>Swetha Chelpuri</cp:lastModifiedBy>
  <dcterms:created xsi:type="dcterms:W3CDTF">2025-11-25T06:54:10Z</dcterms:created>
  <dcterms:modified xsi:type="dcterms:W3CDTF">2025-12-03T13:34:58Z</dcterms:modified>
</cp:coreProperties>
</file>