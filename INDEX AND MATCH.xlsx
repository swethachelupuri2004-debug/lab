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1" documentId="8_{FEFBBBB7-6F6C-4D42-A659-E51CED0FDF6F}" xr6:coauthVersionLast="47" xr6:coauthVersionMax="47" xr10:uidLastSave="{7E33197B-C7BC-40FD-B03C-C89610692327}"/>
  <bookViews>
    <workbookView xWindow="-108" yWindow="-108" windowWidth="23256" windowHeight="12456" xr2:uid="{BC0A7FEC-54AC-4660-B881-A37D6E8FA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6" i="1"/>
  <c r="L15" i="1"/>
</calcChain>
</file>

<file path=xl/sharedStrings.xml><?xml version="1.0" encoding="utf-8"?>
<sst xmlns="http://schemas.openxmlformats.org/spreadsheetml/2006/main" count="29" uniqueCount="26">
  <si>
    <t>INDEX AND MATCH</t>
  </si>
  <si>
    <t>Product id</t>
  </si>
  <si>
    <t>Product</t>
  </si>
  <si>
    <t>Category</t>
  </si>
  <si>
    <t>Jan Sales</t>
  </si>
  <si>
    <t>Feb Sales</t>
  </si>
  <si>
    <t>MarSales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</si>
  <si>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</si>
  <si>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</si>
  <si>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</si>
  <si>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</si>
  <si>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</si>
  <si>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</si>
  <si>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</si>
  <si>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</si>
  <si>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</si>
  <si>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</si>
  <si>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</si>
  <si>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Sales for product C in march</t>
  </si>
  <si>
    <t>category for product E</t>
  </si>
  <si>
    <t>Max sales for product B acrocss all months</t>
  </si>
  <si>
    <t>Month with max sales for product A</t>
  </si>
  <si>
    <t>sum sales for electronics in april</t>
  </si>
  <si>
    <t>cacluate the avearge sales for product D</t>
  </si>
  <si>
    <t>Sales for product id i105 in may</t>
  </si>
  <si>
    <t>Dynamic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</si>
</sst>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2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1" xfId="0" applyFill="1" applyBorder="1" applyAlignment="1">
      <alignment horizontal="center"/>
    </xf>
    <xf numFmtId="0" fontId="0" fillId="5" borderId="4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2" fillId="2" borderId="0" xfId="0" applyFont="1" applyFill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2E15-1BAB-4247-8C9D-BAB44A0BE565}">
  <dimension ref="E2:L22"/>
  <sheetViews>
    <sheetView tabSelected="1" workbookViewId="0">
      <selection activeCell="P8" sqref="P8"/>
    </sheetView>
  </sheetViews>
  <sheetFormatPr defaultRowHeight="14.4" x14ac:dyDescent="0.3"/>
  <sheetData>
    <row r="2" spans="5:12" ht="21" x14ac:dyDescent="0.4">
      <c r="F2" s="10" t="s">
        <v>0</v>
      </c>
      <c r="G2" s="11"/>
      <c r="H2" s="11"/>
      <c r="I2" s="12"/>
    </row>
    <row r="5" spans="5:12" x14ac:dyDescent="0.3"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</row>
    <row r="6" spans="5:12" x14ac:dyDescent="0.3">
      <c r="E6" s="2">
        <v>101</v>
      </c>
      <c r="F6" s="2" t="s">
        <v>9</v>
      </c>
      <c r="G6" s="2" t="s">
        <v>10</v>
      </c>
      <c r="H6" s="2">
        <v>120</v>
      </c>
      <c r="I6" s="2">
        <v>130</v>
      </c>
      <c r="J6" s="2">
        <v>140</v>
      </c>
      <c r="K6" s="2">
        <v>150</v>
      </c>
      <c r="L6" s="2">
        <v>160</v>
      </c>
    </row>
    <row r="7" spans="5:12" x14ac:dyDescent="0.3">
      <c r="E7" s="2">
        <v>102</v>
      </c>
      <c r="F7" s="2" t="s">
        <v>11</v>
      </c>
      <c r="G7" s="2" t="s">
        <v>12</v>
      </c>
      <c r="H7" s="2">
        <v>150</v>
      </c>
      <c r="I7" s="2">
        <v>160</v>
      </c>
      <c r="J7" s="2">
        <v>170</v>
      </c>
      <c r="K7" s="2">
        <v>180</v>
      </c>
      <c r="L7" s="2">
        <v>190</v>
      </c>
    </row>
    <row r="8" spans="5:12" x14ac:dyDescent="0.3">
      <c r="E8" s="2">
        <v>103</v>
      </c>
      <c r="F8" s="2" t="s">
        <v>13</v>
      </c>
      <c r="G8" s="2" t="s">
        <v>10</v>
      </c>
      <c r="H8" s="2">
        <v>200</v>
      </c>
      <c r="I8" s="2">
        <v>210</v>
      </c>
      <c r="J8" s="2">
        <v>220</v>
      </c>
      <c r="K8" s="2">
        <v>230</v>
      </c>
      <c r="L8" s="2">
        <v>240</v>
      </c>
    </row>
    <row r="9" spans="5:12" x14ac:dyDescent="0.3">
      <c r="E9" s="2">
        <v>104</v>
      </c>
      <c r="F9" s="2" t="s">
        <v>14</v>
      </c>
      <c r="G9" s="2" t="s">
        <v>15</v>
      </c>
      <c r="H9" s="2">
        <v>90</v>
      </c>
      <c r="I9" s="2">
        <v>100</v>
      </c>
      <c r="J9" s="2">
        <v>110</v>
      </c>
      <c r="K9" s="2">
        <v>120</v>
      </c>
      <c r="L9" s="2">
        <v>130</v>
      </c>
    </row>
    <row r="10" spans="5:12" x14ac:dyDescent="0.3">
      <c r="E10" s="2">
        <v>105</v>
      </c>
      <c r="F10" s="2" t="s">
        <v>16</v>
      </c>
      <c r="G10" s="2" t="s">
        <v>12</v>
      </c>
      <c r="H10" s="2">
        <v>220</v>
      </c>
      <c r="I10" s="2">
        <v>230</v>
      </c>
      <c r="J10" s="2">
        <v>240</v>
      </c>
      <c r="K10" s="2">
        <v>250</v>
      </c>
      <c r="L10" s="2">
        <v>260</v>
      </c>
    </row>
    <row r="11" spans="5:12" x14ac:dyDescent="0.3">
      <c r="E11" s="2">
        <v>106</v>
      </c>
      <c r="F11" s="2" t="s">
        <v>17</v>
      </c>
      <c r="G11" s="2" t="s">
        <v>10</v>
      </c>
      <c r="H11" s="2">
        <v>130</v>
      </c>
      <c r="I11" s="2">
        <v>140</v>
      </c>
      <c r="J11" s="2">
        <v>150</v>
      </c>
      <c r="K11" s="2">
        <v>160</v>
      </c>
      <c r="L11" s="2">
        <v>170</v>
      </c>
    </row>
    <row r="15" spans="5:12" x14ac:dyDescent="0.3">
      <c r="G15" s="3">
        <v>1</v>
      </c>
      <c r="H15" s="3" t="s">
        <v>18</v>
      </c>
      <c r="I15" s="3"/>
      <c r="J15" s="4"/>
      <c r="K15" s="5"/>
      <c r="L15" s="6">
        <f>INDEX(J6:J11,MATCH(F8,F6:F11,0))</f>
        <v>220</v>
      </c>
    </row>
    <row r="16" spans="5:12" x14ac:dyDescent="0.3">
      <c r="G16" s="3">
        <v>2</v>
      </c>
      <c r="H16" s="3" t="s">
        <v>19</v>
      </c>
      <c r="I16" s="4"/>
      <c r="J16" s="7"/>
      <c r="K16" s="5"/>
      <c r="L16" s="6" t="str">
        <f>INDEX(G6:G11,MATCH(F10,F6:F11,0))</f>
        <v>Furniture</v>
      </c>
    </row>
    <row r="17" spans="7:12" x14ac:dyDescent="0.3">
      <c r="G17" s="3">
        <v>3</v>
      </c>
      <c r="H17" s="8" t="s">
        <v>20</v>
      </c>
      <c r="I17" s="8"/>
      <c r="J17" s="8"/>
      <c r="K17" s="8"/>
      <c r="L17" s="9">
        <f>MAX(INDEX(H8:L13,MATCH(F9,F8:F13,0),0))</f>
        <v>130</v>
      </c>
    </row>
    <row r="18" spans="7:12" x14ac:dyDescent="0.3">
      <c r="G18" s="3">
        <v>4</v>
      </c>
      <c r="H18" s="4" t="s">
        <v>21</v>
      </c>
      <c r="I18" s="7"/>
      <c r="J18" s="7"/>
      <c r="K18" s="5"/>
      <c r="L18" s="9">
        <f>INDEX(H7:L7,MATCH(MAX(H8:L8),H8:L8,0))</f>
        <v>190</v>
      </c>
    </row>
    <row r="19" spans="7:12" x14ac:dyDescent="0.3">
      <c r="G19" s="3">
        <v>5</v>
      </c>
      <c r="H19" s="4" t="s">
        <v>22</v>
      </c>
      <c r="I19" s="7"/>
      <c r="J19" s="7"/>
      <c r="K19" s="5"/>
      <c r="L19" s="6">
        <f>SUMIF(G8:G13,"Electronics",K8:K13)</f>
        <v>390</v>
      </c>
    </row>
    <row r="20" spans="7:12" x14ac:dyDescent="0.3">
      <c r="G20" s="3">
        <v>6</v>
      </c>
      <c r="H20" s="3" t="s">
        <v>23</v>
      </c>
      <c r="I20" s="3"/>
      <c r="J20" s="3"/>
      <c r="K20" s="3"/>
      <c r="L20" s="9">
        <f>AVERAGE(INDEX(H8:L13,MATCH("PRODD",F8:F13,0),0))</f>
        <v>110</v>
      </c>
    </row>
    <row r="21" spans="7:12" x14ac:dyDescent="0.3">
      <c r="G21" s="3">
        <v>7</v>
      </c>
      <c r="H21" s="4" t="s">
        <v>24</v>
      </c>
      <c r="I21" s="7"/>
      <c r="J21" s="7"/>
      <c r="K21" s="5"/>
      <c r="L21" s="6">
        <f>INDEX(L6:L11,MATCH(105,E6:E11,0))</f>
        <v>260</v>
      </c>
    </row>
    <row r="22" spans="7:12" x14ac:dyDescent="0.3">
      <c r="G22" s="3">
        <v>8</v>
      </c>
      <c r="H22" s="4" t="s">
        <v>25</v>
      </c>
      <c r="I22" s="7"/>
      <c r="J22" s="7"/>
      <c r="K22" s="5"/>
      <c r="L22" s="9"/>
    </row>
  </sheetData>
  <mergeCells count="1">
    <mergeCell ref="H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Chelpuri</dc:creator>
  <cp:lastModifiedBy>Swetha Chelpuri</cp:lastModifiedBy>
  <dcterms:created xsi:type="dcterms:W3CDTF">2025-12-17T06:20:52Z</dcterms:created>
  <dcterms:modified xsi:type="dcterms:W3CDTF">2025-12-17T06:22:22Z</dcterms:modified>
</cp:coreProperties>
</file>