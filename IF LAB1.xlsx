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1419482d1b73ea/Desktop/swetha/anudip.foundation/labs/"/>
    </mc:Choice>
  </mc:AlternateContent>
  <xr:revisionPtr revIDLastSave="0" documentId="8_{954D3936-A162-4DDB-812A-F2C9E601E7D7}" xr6:coauthVersionLast="47" xr6:coauthVersionMax="47" xr10:uidLastSave="{00000000-0000-0000-0000-000000000000}"/>
  <bookViews>
    <workbookView xWindow="-108" yWindow="-108" windowWidth="23256" windowHeight="12456" xr2:uid="{A7621673-BAA9-4F9C-96D2-D3D76446E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3" i="1"/>
  <c r="N4" i="1"/>
  <c r="N5" i="1"/>
  <c r="N6" i="1"/>
  <c r="N7" i="1"/>
  <c r="N8" i="1"/>
  <c r="N3" i="1"/>
  <c r="M4" i="1"/>
  <c r="M5" i="1"/>
  <c r="M6" i="1"/>
  <c r="M7" i="1"/>
  <c r="M8" i="1"/>
  <c r="M3" i="1"/>
  <c r="L4" i="1"/>
  <c r="L5" i="1"/>
  <c r="L6" i="1"/>
  <c r="L7" i="1"/>
  <c r="L8" i="1"/>
  <c r="L3" i="1"/>
  <c r="K4" i="1"/>
  <c r="K5" i="1"/>
  <c r="K6" i="1"/>
  <c r="K7" i="1"/>
  <c r="K8" i="1"/>
  <c r="K3" i="1"/>
  <c r="J4" i="1"/>
  <c r="J5" i="1"/>
  <c r="J6" i="1"/>
  <c r="J7" i="1"/>
  <c r="J8" i="1"/>
  <c r="J3" i="1"/>
  <c r="I4" i="1"/>
  <c r="I5" i="1"/>
  <c r="I6" i="1"/>
  <c r="I7" i="1"/>
  <c r="I8" i="1"/>
  <c r="I3" i="1"/>
  <c r="H4" i="1"/>
  <c r="H5" i="1"/>
  <c r="H6" i="1"/>
  <c r="H7" i="1"/>
  <c r="H8" i="1"/>
  <c r="H3" i="1"/>
</calcChain>
</file>

<file path=xl/sharedStrings.xml><?xml version="1.0" encoding="utf-8"?>
<sst xmlns="http://schemas.openxmlformats.org/spreadsheetml/2006/main" count="25" uniqueCount="22">
  <si>
    <t>Product Id</t>
  </si>
  <si>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</si>
  <si>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</si>
  <si>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</si>
  <si>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</si>
  <si>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</si>
  <si>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</si>
  <si>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</si>
  <si>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</si>
  <si>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</si>
  <si>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</si>
  <si>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</si>
  <si>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</si>
  <si>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</si>
  <si>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</si>
  <si>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Bonus</t>
  </si>
  <si>
    <t>Comission</t>
  </si>
  <si>
    <t>Sales Bonus</t>
  </si>
  <si>
    <t>Performance</t>
  </si>
  <si>
    <t>Price tier</t>
  </si>
  <si>
    <t>Year &amp; Bonus</t>
  </si>
  <si>
    <t>High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</si>
</sst>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0" fillId="4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D64C-768B-494F-A7F0-3B5117B019AA}">
  <dimension ref="C2:O8"/>
  <sheetViews>
    <sheetView tabSelected="1" workbookViewId="0">
      <selection activeCell="H17" sqref="H17"/>
    </sheetView>
  </sheetViews>
  <sheetFormatPr defaultRowHeight="14.4" x14ac:dyDescent="0.3"/>
  <cols>
    <col min="3" max="3" width="9.33203125" bestFit="1" customWidth="1"/>
    <col min="8" max="8" width="12.77734375" bestFit="1" customWidth="1"/>
    <col min="10" max="10" width="9.33203125" bestFit="1" customWidth="1"/>
    <col min="11" max="11" width="10.6640625" bestFit="1" customWidth="1"/>
    <col min="12" max="12" width="17.77734375" bestFit="1" customWidth="1"/>
    <col min="14" max="14" width="12" bestFit="1" customWidth="1"/>
    <col min="15" max="15" width="15.77734375" bestFit="1" customWidth="1"/>
  </cols>
  <sheetData>
    <row r="2" spans="3:15" x14ac:dyDescent="0.3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3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</row>
    <row r="3" spans="3:15" x14ac:dyDescent="0.3">
      <c r="C3" s="3">
        <v>101</v>
      </c>
      <c r="D3" s="3" t="s">
        <v>5</v>
      </c>
      <c r="E3" s="3">
        <v>120</v>
      </c>
      <c r="F3" s="3">
        <v>150</v>
      </c>
      <c r="G3" s="3" t="s">
        <v>11</v>
      </c>
      <c r="H3" s="2" t="str">
        <f>IF(E3&gt;=F3,"met target","target not met")</f>
        <v>target not met</v>
      </c>
      <c r="I3" s="2" t="str">
        <f>IF(AND(G3="north",E3&gt;=200),"bonus","no bonus")</f>
        <v>no bonus</v>
      </c>
      <c r="J3" s="2" t="str">
        <f>IF(E3&gt;=200,"10%",IF(E3&gt;=150,"7%","5%"))</f>
        <v>5%</v>
      </c>
      <c r="K3" s="2" t="str">
        <f>IF(E3&gt;=F3,"10%","5%")</f>
        <v>5%</v>
      </c>
      <c r="L3" s="2" t="str">
        <f>IF(E3&gt;=200,"Excellent",IF(E3&gt;=150,"good","needs improvement"))</f>
        <v>needs improvement</v>
      </c>
      <c r="M3" s="2" t="str">
        <f>IF(E3&gt;200,"high",IF(E3&gt;=100,"medium","low"))</f>
        <v>medium</v>
      </c>
      <c r="N3" s="2" t="str">
        <f>IF(AND(E3&gt;=150,G3="north"),"$500","$300")</f>
        <v>$300</v>
      </c>
      <c r="O3" s="2" t="str">
        <f>IF(E3&gt;=PERCENTILE($E$3:$E$8,0.75),"high performance","none")</f>
        <v>none</v>
      </c>
    </row>
    <row r="4" spans="3:15" x14ac:dyDescent="0.3">
      <c r="C4" s="3">
        <v>102</v>
      </c>
      <c r="D4" s="3" t="s">
        <v>6</v>
      </c>
      <c r="E4" s="3">
        <v>150</v>
      </c>
      <c r="F4" s="3">
        <v>140</v>
      </c>
      <c r="G4" s="3" t="s">
        <v>12</v>
      </c>
      <c r="H4" s="2" t="str">
        <f t="shared" ref="H4:H8" si="0">IF(E4&gt;=F4,"met target","target not met")</f>
        <v>met target</v>
      </c>
      <c r="I4" s="2" t="str">
        <f t="shared" ref="I4:I8" si="1">IF(AND(G4="north",E4&gt;=200),"bonus","no bonus")</f>
        <v>no bonus</v>
      </c>
      <c r="J4" s="2" t="str">
        <f t="shared" ref="J4:J8" si="2">IF(E4&gt;=200,"10%",IF(E4&gt;=150,"7%","5%"))</f>
        <v>7%</v>
      </c>
      <c r="K4" s="2" t="str">
        <f t="shared" ref="K4:K8" si="3">IF(E4&gt;=F4,"10%","5%")</f>
        <v>10%</v>
      </c>
      <c r="L4" s="2" t="str">
        <f t="shared" ref="L4:L8" si="4">IF(E4&gt;=200,"Excellent",IF(E4&gt;=150,"good","needs improvement"))</f>
        <v>good</v>
      </c>
      <c r="M4" s="2" t="str">
        <f t="shared" ref="M4:M8" si="5">IF(E4&gt;200,"high",IF(E4&gt;=100,"medium","low"))</f>
        <v>medium</v>
      </c>
      <c r="N4" s="2" t="str">
        <f t="shared" ref="N4:N8" si="6">IF(AND(E4&gt;=150,G4="north"),"$500","$300")</f>
        <v>$300</v>
      </c>
      <c r="O4" s="2" t="str">
        <f t="shared" ref="O4:O8" si="7">IF(E4&gt;=PERCENTILE($E$3:$E$8,0.75),"high performance","none")</f>
        <v>none</v>
      </c>
    </row>
    <row r="5" spans="3:15" x14ac:dyDescent="0.3">
      <c r="C5" s="3">
        <v>103</v>
      </c>
      <c r="D5" s="3" t="s">
        <v>7</v>
      </c>
      <c r="E5" s="3">
        <v>200</v>
      </c>
      <c r="F5" s="3">
        <v>200</v>
      </c>
      <c r="G5" s="3" t="s">
        <v>13</v>
      </c>
      <c r="H5" s="2" t="str">
        <f t="shared" si="0"/>
        <v>met target</v>
      </c>
      <c r="I5" s="2" t="str">
        <f t="shared" si="1"/>
        <v>no bonus</v>
      </c>
      <c r="J5" s="2" t="str">
        <f t="shared" si="2"/>
        <v>10%</v>
      </c>
      <c r="K5" s="2" t="str">
        <f t="shared" si="3"/>
        <v>10%</v>
      </c>
      <c r="L5" s="2" t="str">
        <f t="shared" si="4"/>
        <v>Excellent</v>
      </c>
      <c r="M5" s="2" t="str">
        <f t="shared" si="5"/>
        <v>medium</v>
      </c>
      <c r="N5" s="2" t="str">
        <f t="shared" si="6"/>
        <v>$300</v>
      </c>
      <c r="O5" s="2" t="str">
        <f t="shared" si="7"/>
        <v>high performance</v>
      </c>
    </row>
    <row r="6" spans="3:15" x14ac:dyDescent="0.3">
      <c r="C6" s="3">
        <v>104</v>
      </c>
      <c r="D6" s="3" t="s">
        <v>8</v>
      </c>
      <c r="E6" s="3">
        <v>90</v>
      </c>
      <c r="F6" s="3">
        <v>100</v>
      </c>
      <c r="G6" s="3" t="s">
        <v>14</v>
      </c>
      <c r="H6" s="2" t="str">
        <f t="shared" si="0"/>
        <v>target not met</v>
      </c>
      <c r="I6" s="2" t="str">
        <f t="shared" si="1"/>
        <v>no bonus</v>
      </c>
      <c r="J6" s="2" t="str">
        <f t="shared" si="2"/>
        <v>5%</v>
      </c>
      <c r="K6" s="2" t="str">
        <f t="shared" si="3"/>
        <v>5%</v>
      </c>
      <c r="L6" s="2" t="str">
        <f t="shared" si="4"/>
        <v>needs improvement</v>
      </c>
      <c r="M6" s="2" t="str">
        <f t="shared" si="5"/>
        <v>low</v>
      </c>
      <c r="N6" s="2" t="str">
        <f t="shared" si="6"/>
        <v>$300</v>
      </c>
      <c r="O6" s="2" t="str">
        <f t="shared" si="7"/>
        <v>none</v>
      </c>
    </row>
    <row r="7" spans="3:15" x14ac:dyDescent="0.3">
      <c r="C7" s="3">
        <v>105</v>
      </c>
      <c r="D7" s="3" t="s">
        <v>9</v>
      </c>
      <c r="E7" s="3">
        <v>220</v>
      </c>
      <c r="F7" s="3">
        <v>210</v>
      </c>
      <c r="G7" s="3" t="s">
        <v>11</v>
      </c>
      <c r="H7" s="2" t="str">
        <f t="shared" si="0"/>
        <v>met target</v>
      </c>
      <c r="I7" s="2" t="str">
        <f t="shared" si="1"/>
        <v>bonus</v>
      </c>
      <c r="J7" s="2" t="str">
        <f t="shared" si="2"/>
        <v>10%</v>
      </c>
      <c r="K7" s="2" t="str">
        <f t="shared" si="3"/>
        <v>10%</v>
      </c>
      <c r="L7" s="2" t="str">
        <f t="shared" si="4"/>
        <v>Excellent</v>
      </c>
      <c r="M7" s="2" t="str">
        <f t="shared" si="5"/>
        <v>high</v>
      </c>
      <c r="N7" s="2" t="str">
        <f t="shared" si="6"/>
        <v>$500</v>
      </c>
      <c r="O7" s="2" t="str">
        <f t="shared" si="7"/>
        <v>high performance</v>
      </c>
    </row>
    <row r="8" spans="3:15" x14ac:dyDescent="0.3">
      <c r="C8" s="3">
        <v>106</v>
      </c>
      <c r="D8" s="3" t="s">
        <v>10</v>
      </c>
      <c r="E8" s="3">
        <v>130</v>
      </c>
      <c r="F8" s="3">
        <v>160</v>
      </c>
      <c r="G8" s="3" t="s">
        <v>12</v>
      </c>
      <c r="H8" s="2" t="str">
        <f t="shared" si="0"/>
        <v>target not met</v>
      </c>
      <c r="I8" s="2" t="str">
        <f t="shared" si="1"/>
        <v>no bonus</v>
      </c>
      <c r="J8" s="2" t="str">
        <f t="shared" si="2"/>
        <v>5%</v>
      </c>
      <c r="K8" s="2" t="str">
        <f t="shared" si="3"/>
        <v>5%</v>
      </c>
      <c r="L8" s="2" t="str">
        <f t="shared" si="4"/>
        <v>needs improvement</v>
      </c>
      <c r="M8" s="2" t="str">
        <f t="shared" si="5"/>
        <v>medium</v>
      </c>
      <c r="N8" s="2" t="str">
        <f t="shared" si="6"/>
        <v>$300</v>
      </c>
      <c r="O8" s="2" t="str">
        <f t="shared" si="7"/>
        <v>none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ADVITIYA AEKULA</dc:creator>
  <cp:lastModifiedBy>Swetha Chelpuri</cp:lastModifiedBy>
  <dcterms:created xsi:type="dcterms:W3CDTF">2025-11-12T10:40:59Z</dcterms:created>
  <dcterms:modified xsi:type="dcterms:W3CDTF">2025-12-03T13:02:21Z</dcterms:modified>
</cp:coreProperties>
</file>